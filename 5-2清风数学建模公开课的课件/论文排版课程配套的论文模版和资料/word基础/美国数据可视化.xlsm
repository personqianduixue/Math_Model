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xjmqf\Desktop\word基础\"/>
    </mc:Choice>
  </mc:AlternateContent>
  <xr:revisionPtr revIDLastSave="0" documentId="13_ncr:1_{AF5B3234-28EB-4679-944C-4FD729A66635}" xr6:coauthVersionLast="45" xr6:coauthVersionMax="45" xr10:uidLastSave="{00000000-0000-0000-0000-000000000000}"/>
  <bookViews>
    <workbookView xWindow="-103" yWindow="-103" windowWidth="22149" windowHeight="13474" xr2:uid="{00000000-000D-0000-FFFF-FFFF00000000}"/>
  </bookViews>
  <sheets>
    <sheet name="data" sheetId="1" r:id="rId1"/>
    <sheet name="map" sheetId="2" r:id="rId2"/>
    <sheet name="数据实例" sheetId="6" r:id="rId3"/>
  </sheets>
  <definedNames>
    <definedName name="color_scheme">data!$J$7</definedName>
    <definedName name="color_table">data!$G$11:$H$20</definedName>
    <definedName name="color1">data!$I$11</definedName>
    <definedName name="color10">data!$I$20</definedName>
    <definedName name="color2">data!$I$12</definedName>
    <definedName name="color3">data!$I$13</definedName>
    <definedName name="color4">data!$I$14</definedName>
    <definedName name="color5">data!$I$15</definedName>
    <definedName name="color6">data!$I$16</definedName>
    <definedName name="color7">data!$I$17</definedName>
    <definedName name="color8">data!$I$18</definedName>
    <definedName name="color9">data!$I$19</definedName>
    <definedName name="numbers_format">data!$S$8</definedName>
    <definedName name="show_numbers">data!$Q$7</definedName>
    <definedName name="show_province">data!$O$7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6" i="6" l="1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2" i="6"/>
  <c r="H6" i="1" l="1"/>
  <c r="H5" i="1"/>
  <c r="H4" i="1"/>
  <c r="H3" i="1"/>
  <c r="H2" i="1"/>
  <c r="J15" i="1" l="1"/>
  <c r="J12" i="1"/>
  <c r="J13" i="1"/>
  <c r="J14" i="1"/>
  <c r="J11" i="1"/>
  <c r="P3" i="6" l="1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2" i="6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D45" i="1" l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G22" i="1" l="1"/>
  <c r="D12" i="1" l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11" i="1"/>
</calcChain>
</file>

<file path=xl/sharedStrings.xml><?xml version="1.0" encoding="utf-8"?>
<sst xmlns="http://schemas.openxmlformats.org/spreadsheetml/2006/main" count="267" uniqueCount="165">
  <si>
    <t>指标</t>
    <phoneticPr fontId="1" type="noConversion"/>
  </si>
  <si>
    <t>颜色</t>
    <phoneticPr fontId="1" type="noConversion"/>
  </si>
  <si>
    <t>标签</t>
    <phoneticPr fontId="1" type="noConversion"/>
  </si>
  <si>
    <t>color1</t>
    <phoneticPr fontId="1" type="noConversion"/>
  </si>
  <si>
    <t>color2</t>
  </si>
  <si>
    <t>color3</t>
  </si>
  <si>
    <t>color4</t>
  </si>
  <si>
    <t>color5</t>
  </si>
  <si>
    <t>使用步骤：</t>
    <phoneticPr fontId="1" type="noConversion"/>
  </si>
  <si>
    <t>0</t>
  </si>
  <si>
    <t>0</t>
    <phoneticPr fontId="1" type="noConversion"/>
  </si>
  <si>
    <t>0.0</t>
    <phoneticPr fontId="1" type="noConversion"/>
  </si>
  <si>
    <t>0.00</t>
    <phoneticPr fontId="1" type="noConversion"/>
  </si>
  <si>
    <t>0%</t>
    <phoneticPr fontId="1" type="noConversion"/>
  </si>
  <si>
    <t>0.0%</t>
    <phoneticPr fontId="1" type="noConversion"/>
  </si>
  <si>
    <t>0.00%</t>
    <phoneticPr fontId="1" type="noConversion"/>
  </si>
  <si>
    <t>选择配色</t>
    <phoneticPr fontId="1" type="noConversion"/>
  </si>
  <si>
    <t>❷设置分档</t>
    <phoneticPr fontId="1" type="noConversion"/>
  </si>
  <si>
    <t>❸填色</t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</si>
  <si>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档、双色渐变</t>
    </r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</si>
  <si>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档、单色渐变</t>
    </r>
    <phoneticPr fontId="1" type="noConversion"/>
  </si>
  <si>
    <t>❶填入数据</t>
    <phoneticPr fontId="1" type="noConversion"/>
  </si>
  <si>
    <t>5档、单色渐变，反映数据从小到大</t>
    <phoneticPr fontId="1" type="noConversion"/>
  </si>
  <si>
    <t>5档、双色渐变，从负到正</t>
    <phoneticPr fontId="1" type="noConversion"/>
  </si>
  <si>
    <t>5档、离散类别</t>
    <phoneticPr fontId="1" type="noConversion"/>
  </si>
  <si>
    <t>阈值</t>
    <phoneticPr fontId="1" type="noConversion"/>
  </si>
  <si>
    <t>图例</t>
    <phoneticPr fontId="1" type="noConversion"/>
  </si>
  <si>
    <t>AK</t>
  </si>
  <si>
    <t>Alaska</t>
  </si>
  <si>
    <t>AL</t>
  </si>
  <si>
    <t>Alabama</t>
  </si>
  <si>
    <t>AR</t>
  </si>
  <si>
    <t>Arkansas</t>
  </si>
  <si>
    <t>AZ</t>
  </si>
  <si>
    <t>CA</t>
  </si>
  <si>
    <t>CO</t>
  </si>
  <si>
    <t>CT</t>
  </si>
  <si>
    <t>Connecticut</t>
  </si>
  <si>
    <t>DC</t>
  </si>
  <si>
    <t>District Of Columbia</t>
  </si>
  <si>
    <t>DE</t>
  </si>
  <si>
    <t>Delaware</t>
  </si>
  <si>
    <t>FL</t>
  </si>
  <si>
    <t>Florida</t>
  </si>
  <si>
    <t>Georgia</t>
  </si>
  <si>
    <t>HI</t>
  </si>
  <si>
    <t>Hawaii</t>
  </si>
  <si>
    <t>IA</t>
  </si>
  <si>
    <t>Iowa</t>
  </si>
  <si>
    <t>ID</t>
  </si>
  <si>
    <t>Idaho</t>
  </si>
  <si>
    <t>IL</t>
  </si>
  <si>
    <t>Illinois</t>
  </si>
  <si>
    <t>IN</t>
  </si>
  <si>
    <t>Indiana</t>
  </si>
  <si>
    <t>KS</t>
  </si>
  <si>
    <t>Kansas</t>
  </si>
  <si>
    <t>KY</t>
  </si>
  <si>
    <t>Kentucky</t>
  </si>
  <si>
    <t>LA</t>
  </si>
  <si>
    <t>Louisiana</t>
  </si>
  <si>
    <t>MA</t>
  </si>
  <si>
    <t>Massachusetts</t>
  </si>
  <si>
    <t>MD</t>
  </si>
  <si>
    <t>Maryland</t>
  </si>
  <si>
    <t>ME</t>
  </si>
  <si>
    <t>Maine</t>
  </si>
  <si>
    <t>MI</t>
  </si>
  <si>
    <t>Michigan</t>
  </si>
  <si>
    <t>MN</t>
  </si>
  <si>
    <t>Minnesota</t>
  </si>
  <si>
    <t>MO</t>
  </si>
  <si>
    <t>Missouri</t>
  </si>
  <si>
    <t>MS</t>
  </si>
  <si>
    <t>Mississippi</t>
  </si>
  <si>
    <t>MT</t>
  </si>
  <si>
    <t>Montana</t>
  </si>
  <si>
    <t>NC</t>
  </si>
  <si>
    <t>North Carolina</t>
  </si>
  <si>
    <t>ND</t>
  </si>
  <si>
    <t>North Dakota</t>
  </si>
  <si>
    <t>NE</t>
  </si>
  <si>
    <t>Nebraska</t>
  </si>
  <si>
    <t>NH</t>
  </si>
  <si>
    <t>New Hampshire</t>
  </si>
  <si>
    <t>NJ</t>
  </si>
  <si>
    <t>New Jersey</t>
  </si>
  <si>
    <t>NM</t>
  </si>
  <si>
    <t>New Mexico</t>
  </si>
  <si>
    <t>NV</t>
  </si>
  <si>
    <t>Nevada</t>
  </si>
  <si>
    <t>NY</t>
  </si>
  <si>
    <t>New York</t>
  </si>
  <si>
    <t>OH</t>
  </si>
  <si>
    <t>Ohio</t>
  </si>
  <si>
    <t>OK</t>
  </si>
  <si>
    <t>Oklahoma</t>
  </si>
  <si>
    <t>OR</t>
  </si>
  <si>
    <t>Oregon</t>
  </si>
  <si>
    <t>PA</t>
  </si>
  <si>
    <t>Pennsylvania</t>
  </si>
  <si>
    <t>PW</t>
  </si>
  <si>
    <t>RI</t>
  </si>
  <si>
    <t>Rhode Island</t>
  </si>
  <si>
    <t>SC</t>
  </si>
  <si>
    <t>South Carolina</t>
  </si>
  <si>
    <t>SD</t>
  </si>
  <si>
    <t>South Dakota</t>
  </si>
  <si>
    <t>TN</t>
  </si>
  <si>
    <t>Tennessee</t>
  </si>
  <si>
    <t>TX</t>
  </si>
  <si>
    <t>Texas</t>
  </si>
  <si>
    <t>UT</t>
  </si>
  <si>
    <t>Utah</t>
  </si>
  <si>
    <t>VA</t>
  </si>
  <si>
    <t>VI</t>
  </si>
  <si>
    <t>Virgin Islands</t>
  </si>
  <si>
    <t>VT</t>
  </si>
  <si>
    <t>Vermont</t>
  </si>
  <si>
    <t>WA</t>
  </si>
  <si>
    <t>Washington</t>
  </si>
  <si>
    <t>WI</t>
  </si>
  <si>
    <t>Wisconsin</t>
  </si>
  <si>
    <t>WV</t>
  </si>
  <si>
    <t>West Virginia</t>
  </si>
  <si>
    <t>WY</t>
  </si>
  <si>
    <t>Wyoming</t>
  </si>
  <si>
    <t>形状名称</t>
    <phoneticPr fontId="1" type="noConversion"/>
  </si>
  <si>
    <t>州名</t>
    <phoneticPr fontId="1" type="noConversion"/>
  </si>
  <si>
    <t>GA</t>
    <phoneticPr fontId="1" type="noConversion"/>
  </si>
  <si>
    <t>最小值</t>
    <phoneticPr fontId="1" type="noConversion"/>
  </si>
  <si>
    <t>最大值</t>
    <phoneticPr fontId="1" type="noConversion"/>
  </si>
  <si>
    <t>Palau</t>
  </si>
  <si>
    <t>State/Territory</t>
  </si>
  <si>
    <t>Case Rate per 100000</t>
  </si>
  <si>
    <t>American Samoa</t>
  </si>
  <si>
    <t>Arizona</t>
  </si>
  <si>
    <t>California</t>
  </si>
  <si>
    <t>Colorado</t>
  </si>
  <si>
    <t>District of Columbia</t>
  </si>
  <si>
    <t>Federated States of Micronesia</t>
  </si>
  <si>
    <t>Guam</t>
  </si>
  <si>
    <t>Northern Mariana Islands</t>
  </si>
  <si>
    <t>New York City</t>
  </si>
  <si>
    <t>Puerto Rico</t>
  </si>
  <si>
    <t>Republic of Marshall Islands</t>
  </si>
  <si>
    <t>Virginia</t>
  </si>
  <si>
    <t>District Of Columbia</t>
    <phoneticPr fontId="1" type="noConversion"/>
  </si>
  <si>
    <t>California</t>
    <phoneticPr fontId="1" type="noConversion"/>
  </si>
  <si>
    <t>https://covid.cdc.gov/</t>
  </si>
  <si>
    <t>美国各个州或地区每10万人感染新冠肺炎的人数</t>
    <phoneticPr fontId="1" type="noConversion"/>
  </si>
  <si>
    <t>在右侧我使用了Vlookup函数来查找对应的数据</t>
    <phoneticPr fontId="1" type="noConversion"/>
  </si>
  <si>
    <t>如果大小写不一致的话，你可以先使用lower函数统一设置成小写字母再匹配</t>
    <phoneticPr fontId="1" type="noConversion"/>
  </si>
  <si>
    <r>
      <rPr>
        <sz val="16"/>
        <color rgb="FFFF0000"/>
        <rFont val="宋体"/>
        <family val="3"/>
        <charset val="134"/>
      </rPr>
      <t>州名</t>
    </r>
  </si>
  <si>
    <r>
      <rPr>
        <sz val="16"/>
        <color theme="1"/>
        <rFont val="宋体"/>
        <family val="2"/>
        <charset val="134"/>
      </rPr>
      <t>指标</t>
    </r>
    <phoneticPr fontId="1" type="noConversion"/>
  </si>
  <si>
    <t>格式：</t>
    <phoneticPr fontId="1" type="noConversion"/>
  </si>
  <si>
    <t>Virgin Islands</t>
    <phoneticPr fontId="1" type="noConversion"/>
  </si>
  <si>
    <r>
      <t>PW</t>
    </r>
    <r>
      <rPr>
        <sz val="10"/>
        <color theme="1"/>
        <rFont val="宋体"/>
        <family val="2"/>
        <charset val="134"/>
      </rPr>
      <t>和</t>
    </r>
    <r>
      <rPr>
        <sz val="10"/>
        <color theme="1"/>
        <rFont val="Arial"/>
        <family val="2"/>
        <charset val="134"/>
      </rPr>
      <t>VI</t>
    </r>
    <r>
      <rPr>
        <sz val="10"/>
        <color theme="1"/>
        <rFont val="宋体"/>
        <family val="2"/>
        <charset val="134"/>
      </rPr>
      <t>我隐藏起来了，这两个地方是美国的海外属地或者代管地。</t>
    </r>
    <phoneticPr fontId="1" type="noConversion"/>
  </si>
  <si>
    <t>这一页的图形不要乱动</t>
    <phoneticPr fontId="1" type="noConversion"/>
  </si>
  <si>
    <t>参考</t>
    <phoneticPr fontId="1" type="noConversion"/>
  </si>
  <si>
    <t>下四分位数</t>
    <phoneticPr fontId="1" type="noConversion"/>
  </si>
  <si>
    <t>中位数</t>
    <phoneticPr fontId="1" type="noConversion"/>
  </si>
  <si>
    <t>上四分位数</t>
    <phoneticPr fontId="1" type="noConversion"/>
  </si>
  <si>
    <t>如果没找到的话用0代替</t>
    <phoneticPr fontId="1" type="noConversion"/>
  </si>
  <si>
    <t>蓝色高亮的是我们从网上下载的数据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</si>
</sst>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0"/>
      <color theme="1"/>
      <name val="Arial"/>
      <family val="2"/>
      <charset val="134"/>
    </font>
    <font>
      <sz val="9"/>
      <name val="Arial"/>
      <family val="2"/>
      <charset val="134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sz val="10"/>
      <name val="Arial"/>
      <family val="2"/>
    </font>
    <font>
      <sz val="10"/>
      <color theme="0" tint="-0.249977111117893"/>
      <name val="Arial"/>
      <family val="2"/>
      <charset val="134"/>
    </font>
    <font>
      <sz val="9"/>
      <name val="Arial"/>
      <family val="2"/>
    </font>
    <font>
      <sz val="9"/>
      <color rgb="FFFF0000"/>
      <name val="Arial"/>
      <family val="2"/>
    </font>
    <font>
      <sz val="10"/>
      <color rgb="FF000000"/>
      <name val="宋体"/>
      <family val="3"/>
      <charset val="134"/>
    </font>
    <font>
      <sz val="8"/>
      <color theme="1"/>
      <name val="Arial"/>
      <family val="2"/>
      <charset val="134"/>
    </font>
    <font>
      <sz val="9"/>
      <color rgb="FF000000"/>
      <name val="Microsoft YaHei UI"/>
      <family val="2"/>
      <charset val="134"/>
    </font>
    <font>
      <sz val="10"/>
      <color theme="0" tint="-0.14999847407452621"/>
      <name val="Arial"/>
      <family val="2"/>
    </font>
    <font>
      <sz val="10"/>
      <color theme="0" tint="-0.14999847407452621"/>
      <name val="Arial"/>
      <family val="2"/>
      <charset val="134"/>
    </font>
    <font>
      <sz val="10"/>
      <name val="Arial"/>
      <family val="2"/>
      <charset val="134"/>
    </font>
    <font>
      <sz val="10"/>
      <color rgb="FFFF0000"/>
      <name val="Arial"/>
      <family val="2"/>
      <charset val="134"/>
    </font>
    <font>
      <u/>
      <sz val="10"/>
      <color theme="10"/>
      <name val="Arial"/>
      <family val="2"/>
      <charset val="134"/>
    </font>
    <font>
      <b/>
      <sz val="10"/>
      <color theme="0" tint="-0.14999847407452621"/>
      <name val="宋体"/>
      <family val="3"/>
      <charset val="134"/>
    </font>
    <font>
      <sz val="10"/>
      <color theme="1"/>
      <name val="Arial"/>
      <family val="2"/>
      <charset val="134"/>
    </font>
    <font>
      <u/>
      <sz val="10"/>
      <color theme="10"/>
      <name val="Arial"/>
      <family val="2"/>
    </font>
    <font>
      <sz val="11"/>
      <color theme="1"/>
      <name val="宋体"/>
      <family val="2"/>
      <charset val="134"/>
    </font>
    <font>
      <sz val="11"/>
      <color theme="1"/>
      <name val="Arial"/>
      <family val="2"/>
      <charset val="134"/>
    </font>
    <font>
      <sz val="16"/>
      <color theme="1"/>
      <name val="宋体"/>
      <family val="2"/>
      <charset val="134"/>
    </font>
    <font>
      <sz val="16"/>
      <color theme="1"/>
      <name val="Arial"/>
      <family val="2"/>
      <charset val="134"/>
    </font>
    <font>
      <sz val="10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sz val="16"/>
      <color rgb="FFFF0000"/>
      <name val="Times New Roman"/>
      <family val="1"/>
    </font>
    <font>
      <sz val="16"/>
      <color rgb="FFFF0000"/>
      <name val="宋体"/>
      <family val="3"/>
      <charset val="134"/>
    </font>
    <font>
      <sz val="16"/>
      <color theme="1"/>
      <name val="Times New Roman"/>
      <family val="1"/>
    </font>
    <font>
      <b/>
      <sz val="18"/>
      <color rgb="FFFF0000"/>
      <name val="宋体"/>
      <family val="2"/>
      <charset val="134"/>
    </font>
    <font>
      <b/>
      <sz val="18"/>
      <color rgb="FFFF0000"/>
      <name val="Arial"/>
      <family val="2"/>
      <charset val="134"/>
    </font>
    <font>
      <sz val="18"/>
      <color theme="1"/>
      <name val="Arial"/>
      <family val="2"/>
      <charset val="134"/>
    </font>
    <font>
      <sz val="10"/>
      <color theme="1"/>
      <name val="宋体"/>
      <family val="2"/>
      <charset val="134"/>
    </font>
    <font>
      <sz val="12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29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9E0142"/>
        <bgColor indexed="64"/>
      </patternFill>
    </fill>
    <fill>
      <patternFill patternType="solid">
        <fgColor rgb="FF8DD3C7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A9850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8C510A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C51B7D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D53E4F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1F78B4"/>
        <bgColor indexed="64"/>
      </patternFill>
    </fill>
    <fill>
      <patternFill patternType="solid">
        <fgColor rgb="FF9BC1DB"/>
        <bgColor indexed="64"/>
      </patternFill>
    </fill>
    <fill>
      <patternFill patternType="solid">
        <fgColor rgb="FFF3583F"/>
        <bgColor indexed="64"/>
      </patternFill>
    </fill>
    <fill>
      <patternFill patternType="solid">
        <fgColor rgb="FFE3DA99"/>
        <bgColor indexed="64"/>
      </patternFill>
    </fill>
    <fill>
      <patternFill patternType="solid">
        <fgColor rgb="FF88EB88"/>
        <bgColor indexed="64"/>
      </patternFill>
    </fill>
    <fill>
      <patternFill patternType="solid">
        <fgColor rgb="FFFFF6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BD63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EBADA"/>
        <bgColor indexed="64"/>
      </patternFill>
    </fill>
    <fill>
      <patternFill patternType="solid">
        <fgColor rgb="FFB2DF8A"/>
        <bgColor indexed="64"/>
      </patternFill>
    </fill>
    <fill>
      <patternFill patternType="solid">
        <fgColor rgb="FF89ABD1"/>
        <bgColor indexed="64"/>
      </patternFill>
    </fill>
    <fill>
      <patternFill patternType="solid">
        <fgColor rgb="FFE74E38"/>
        <bgColor indexed="64"/>
      </patternFill>
    </fill>
    <fill>
      <patternFill patternType="solid">
        <fgColor rgb="FFD9CD88"/>
        <bgColor indexed="64"/>
      </patternFill>
    </fill>
    <fill>
      <patternFill patternType="solid">
        <fgColor rgb="FF78DC78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6D96A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DFC27D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FB8072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7895C6"/>
        <bgColor indexed="64"/>
      </patternFill>
    </fill>
    <fill>
      <patternFill patternType="solid">
        <fgColor rgb="FFDB4431"/>
        <bgColor indexed="64"/>
      </patternFill>
    </fill>
    <fill>
      <patternFill patternType="solid">
        <fgColor rgb="FFCFBF78"/>
        <bgColor indexed="64"/>
      </patternFill>
    </fill>
    <fill>
      <patternFill patternType="solid">
        <fgColor rgb="FF69CC69"/>
        <bgColor indexed="64"/>
      </patternFill>
    </fill>
    <fill>
      <patternFill patternType="solid">
        <fgColor rgb="FFFFEF8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EF8B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EE08B"/>
        <bgColor indexed="64"/>
      </patternFill>
    </fill>
    <fill>
      <patternFill patternType="solid">
        <fgColor rgb="FF80B1D3"/>
        <bgColor indexed="64"/>
      </patternFill>
    </fill>
    <fill>
      <patternFill patternType="solid">
        <fgColor rgb="FFFB9A99"/>
        <bgColor indexed="64"/>
      </patternFill>
    </fill>
    <fill>
      <patternFill patternType="solid">
        <fgColor rgb="FF667FBC"/>
        <bgColor indexed="64"/>
      </patternFill>
    </fill>
    <fill>
      <patternFill patternType="solid">
        <fgColor rgb="FFCF3A2A"/>
        <bgColor indexed="64"/>
      </patternFill>
    </fill>
    <fill>
      <patternFill patternType="solid">
        <fgColor rgb="FFC5B267"/>
        <bgColor indexed="64"/>
      </patternFill>
    </fill>
    <fill>
      <patternFill patternType="solid">
        <fgColor rgb="FF59BD59"/>
        <bgColor indexed="64"/>
      </patternFill>
    </fill>
    <fill>
      <patternFill patternType="solid">
        <fgColor rgb="FFFFEB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6F598"/>
        <bgColor indexed="64"/>
      </patternFill>
    </fill>
    <fill>
      <patternFill patternType="solid">
        <fgColor rgb="FFFDB462"/>
        <bgColor indexed="64"/>
      </patternFill>
    </fill>
    <fill>
      <patternFill patternType="solid">
        <fgColor rgb="FFE31A1C"/>
        <bgColor indexed="64"/>
      </patternFill>
    </fill>
    <fill>
      <patternFill patternType="solid">
        <fgColor rgb="FF5469B1"/>
        <bgColor indexed="64"/>
      </patternFill>
    </fill>
    <fill>
      <patternFill patternType="solid">
        <fgColor rgb="FFC33022"/>
        <bgColor indexed="64"/>
      </patternFill>
    </fill>
    <fill>
      <patternFill patternType="solid">
        <fgColor rgb="FFBBA557"/>
        <bgColor indexed="64"/>
      </patternFill>
    </fill>
    <fill>
      <patternFill patternType="solid">
        <fgColor rgb="FF4AAD4A"/>
        <bgColor indexed="64"/>
      </patternFill>
    </fill>
    <fill>
      <patternFill patternType="solid">
        <fgColor rgb="FFFFE864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ABDDA4"/>
        <bgColor indexed="64"/>
      </patternFill>
    </fill>
    <fill>
      <patternFill patternType="solid">
        <fgColor rgb="FFB3DE69"/>
        <bgColor indexed="64"/>
      </patternFill>
    </fill>
    <fill>
      <patternFill patternType="solid">
        <fgColor rgb="FFFDBF6F"/>
        <bgColor indexed="64"/>
      </patternFill>
    </fill>
    <fill>
      <patternFill patternType="solid">
        <fgColor rgb="FF4353A7"/>
        <bgColor indexed="64"/>
      </patternFill>
    </fill>
    <fill>
      <patternFill patternType="solid">
        <fgColor rgb="FFB7261B"/>
        <bgColor indexed="64"/>
      </patternFill>
    </fill>
    <fill>
      <patternFill patternType="solid">
        <fgColor rgb="FFB19746"/>
        <bgColor indexed="64"/>
      </patternFill>
    </fill>
    <fill>
      <patternFill patternType="solid">
        <fgColor rgb="FF3A9E3A"/>
        <bgColor indexed="64"/>
      </patternFill>
    </fill>
    <fill>
      <patternFill patternType="solid">
        <fgColor rgb="FFFFE44F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66C2A5"/>
        <bgColor indexed="64"/>
      </patternFill>
    </fill>
    <fill>
      <patternFill patternType="solid">
        <fgColor rgb="FFFCCDE5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313D9D"/>
        <bgColor indexed="64"/>
      </patternFill>
    </fill>
    <fill>
      <patternFill patternType="solid">
        <fgColor rgb="FFAC1C14"/>
        <bgColor indexed="64"/>
      </patternFill>
    </fill>
    <fill>
      <patternFill patternType="solid">
        <fgColor rgb="FFA78A36"/>
        <bgColor indexed="64"/>
      </patternFill>
    </fill>
    <fill>
      <patternFill patternType="solid">
        <fgColor rgb="FF2B8F2B"/>
        <bgColor indexed="64"/>
      </patternFill>
    </fill>
    <fill>
      <patternFill patternType="solid">
        <fgColor rgb="FFFFE13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288B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AB2D6"/>
        <bgColor indexed="64"/>
      </patternFill>
    </fill>
    <fill>
      <patternFill patternType="solid">
        <fgColor rgb="FF1F2792"/>
        <bgColor indexed="64"/>
      </patternFill>
    </fill>
    <fill>
      <patternFill patternType="solid">
        <fgColor rgb="FFA0120D"/>
        <bgColor indexed="64"/>
      </patternFill>
    </fill>
    <fill>
      <patternFill patternType="solid">
        <fgColor rgb="FF9D7D25"/>
        <bgColor indexed="64"/>
      </patternFill>
    </fill>
    <fill>
      <patternFill patternType="solid">
        <fgColor rgb="FF1B7F1B"/>
        <bgColor indexed="64"/>
      </patternFill>
    </fill>
    <fill>
      <patternFill patternType="solid">
        <fgColor rgb="FFFFDD2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67001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5E4FA2"/>
        <bgColor indexed="64"/>
      </patternFill>
    </fill>
    <fill>
      <patternFill patternType="solid">
        <fgColor rgb="FFBC80BD"/>
        <bgColor indexed="64"/>
      </patternFill>
    </fill>
    <fill>
      <patternFill patternType="solid">
        <fgColor rgb="FF6A3D9A"/>
        <bgColor indexed="64"/>
      </patternFill>
    </fill>
    <fill>
      <patternFill patternType="solid">
        <fgColor rgb="FF0E1188"/>
        <bgColor indexed="64"/>
      </patternFill>
    </fill>
    <fill>
      <patternFill patternType="solid">
        <fgColor rgb="FF940805"/>
        <bgColor indexed="64"/>
      </patternFill>
    </fill>
    <fill>
      <patternFill patternType="solid">
        <fgColor rgb="FF936F15"/>
        <bgColor indexed="64"/>
      </patternFill>
    </fill>
    <fill>
      <patternFill patternType="solid">
        <fgColor rgb="FF0C700C"/>
        <bgColor indexed="64"/>
      </patternFill>
    </fill>
    <fill>
      <patternFill patternType="solid">
        <fgColor rgb="FFFFD91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9E8"/>
        <bgColor indexed="64"/>
      </patternFill>
    </fill>
    <fill>
      <patternFill patternType="solid">
        <fgColor rgb="FFEDF8FB"/>
        <bgColor indexed="64"/>
      </patternFill>
    </fill>
    <fill>
      <patternFill patternType="solid">
        <fgColor rgb="FFF6EFF7"/>
        <bgColor indexed="64"/>
      </patternFill>
    </fill>
    <fill>
      <patternFill patternType="solid">
        <fgColor rgb="FFF1EEF6"/>
        <bgColor indexed="64"/>
      </patternFill>
    </fill>
    <fill>
      <patternFill patternType="solid">
        <fgColor rgb="FFFEEBE2"/>
        <bgColor indexed="64"/>
      </patternFill>
    </fill>
    <fill>
      <patternFill patternType="solid">
        <fgColor rgb="FFFEF0D9"/>
        <bgColor indexed="64"/>
      </patternFill>
    </fill>
    <fill>
      <patternFill patternType="solid">
        <fgColor rgb="FFFFFFB2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F2F0F7"/>
        <bgColor indexed="64"/>
      </patternFill>
    </fill>
    <fill>
      <patternFill patternType="solid">
        <fgColor rgb="FFEFF3FF"/>
        <bgColor indexed="64"/>
      </patternFill>
    </fill>
    <fill>
      <patternFill patternType="solid">
        <fgColor rgb="FFEDF8E9"/>
        <bgColor indexed="64"/>
      </patternFill>
    </fill>
    <fill>
      <patternFill patternType="solid">
        <fgColor rgb="FFFEEDDE"/>
        <bgColor indexed="64"/>
      </patternFill>
    </fill>
    <fill>
      <patternFill patternType="solid">
        <fgColor rgb="FFFEE5D9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E66101"/>
        <bgColor indexed="64"/>
      </patternFill>
    </fill>
    <fill>
      <patternFill patternType="solid">
        <fgColor rgb="FFA6611A"/>
        <bgColor indexed="64"/>
      </patternFill>
    </fill>
    <fill>
      <patternFill patternType="solid">
        <fgColor rgb="FF7B3294"/>
        <bgColor indexed="64"/>
      </patternFill>
    </fill>
    <fill>
      <patternFill patternType="solid">
        <fgColor rgb="FFD01C8B"/>
        <bgColor indexed="64"/>
      </patternFill>
    </fill>
    <fill>
      <patternFill patternType="solid">
        <fgColor rgb="FFCA0020"/>
        <bgColor indexed="64"/>
      </patternFill>
    </fill>
    <fill>
      <patternFill patternType="solid">
        <fgColor rgb="FFD7191C"/>
        <bgColor indexed="64"/>
      </patternFill>
    </fill>
    <fill>
      <patternFill patternType="solid">
        <fgColor rgb="FFFBB4AE"/>
        <bgColor indexed="64"/>
      </patternFill>
    </fill>
    <fill>
      <patternFill patternType="solid">
        <fgColor rgb="FFE41A1C"/>
        <bgColor indexed="64"/>
      </patternFill>
    </fill>
    <fill>
      <patternFill patternType="solid">
        <fgColor rgb="FFB3E2CD"/>
        <bgColor indexed="64"/>
      </patternFill>
    </fill>
    <fill>
      <patternFill patternType="solid">
        <fgColor rgb="FF1B9E77"/>
        <bgColor indexed="64"/>
      </patternFill>
    </fill>
    <fill>
      <patternFill patternType="solid">
        <fgColor rgb="FF7FC97F"/>
        <bgColor indexed="64"/>
      </patternFill>
    </fill>
    <fill>
      <patternFill patternType="solid">
        <fgColor rgb="FFC2E699"/>
        <bgColor indexed="64"/>
      </patternFill>
    </fill>
    <fill>
      <patternFill patternType="solid">
        <fgColor rgb="FFA1DAB4"/>
        <bgColor indexed="64"/>
      </patternFill>
    </fill>
    <fill>
      <patternFill patternType="solid">
        <fgColor rgb="FFBAE4BC"/>
        <bgColor indexed="64"/>
      </patternFill>
    </fill>
    <fill>
      <patternFill patternType="solid">
        <fgColor rgb="FFB2E2E2"/>
        <bgColor indexed="64"/>
      </patternFill>
    </fill>
    <fill>
      <patternFill patternType="solid">
        <fgColor rgb="FFBDC9E1"/>
        <bgColor indexed="64"/>
      </patternFill>
    </fill>
    <fill>
      <patternFill patternType="solid">
        <fgColor rgb="FFB3CDE3"/>
        <bgColor indexed="64"/>
      </patternFill>
    </fill>
    <fill>
      <patternFill patternType="solid">
        <fgColor rgb="FFFBB4B9"/>
        <bgColor indexed="64"/>
      </patternFill>
    </fill>
    <fill>
      <patternFill patternType="solid">
        <fgColor rgb="FFD7B5D8"/>
        <bgColor indexed="64"/>
      </patternFill>
    </fill>
    <fill>
      <patternFill patternType="solid">
        <fgColor rgb="FFFDCC8A"/>
        <bgColor indexed="64"/>
      </patternFill>
    </fill>
    <fill>
      <patternFill patternType="solid">
        <fgColor rgb="FFFECC5C"/>
        <bgColor indexed="64"/>
      </patternFill>
    </fill>
    <fill>
      <patternFill patternType="solid">
        <fgColor rgb="FFFED98E"/>
        <bgColor indexed="64"/>
      </patternFill>
    </fill>
    <fill>
      <patternFill patternType="solid">
        <fgColor rgb="FFCBC9E2"/>
        <bgColor indexed="64"/>
      </patternFill>
    </fill>
    <fill>
      <patternFill patternType="solid">
        <fgColor rgb="FFBDD7E7"/>
        <bgColor indexed="64"/>
      </patternFill>
    </fill>
    <fill>
      <patternFill patternType="solid">
        <fgColor rgb="FFBAE4B3"/>
        <bgColor indexed="64"/>
      </patternFill>
    </fill>
    <fill>
      <patternFill patternType="solid">
        <fgColor rgb="FFFDBE85"/>
        <bgColor indexed="64"/>
      </patternFill>
    </fill>
    <fill>
      <patternFill patternType="solid">
        <fgColor rgb="FFFCAE9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77EB8"/>
        <bgColor indexed="64"/>
      </patternFill>
    </fill>
    <fill>
      <patternFill patternType="solid">
        <fgColor rgb="FFFDCDAC"/>
        <bgColor indexed="64"/>
      </patternFill>
    </fill>
    <fill>
      <patternFill patternType="solid">
        <fgColor rgb="FFFC8D62"/>
        <bgColor indexed="64"/>
      </patternFill>
    </fill>
    <fill>
      <patternFill patternType="solid">
        <fgColor rgb="FFD95F02"/>
        <bgColor indexed="64"/>
      </patternFill>
    </fill>
    <fill>
      <patternFill patternType="solid">
        <fgColor rgb="FFBEAED4"/>
        <bgColor indexed="64"/>
      </patternFill>
    </fill>
    <fill>
      <patternFill patternType="solid">
        <fgColor rgb="FF78C679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7BCCC4"/>
        <bgColor indexed="64"/>
      </patternFill>
    </fill>
    <fill>
      <patternFill patternType="solid">
        <fgColor rgb="FF66C2A4"/>
        <bgColor indexed="64"/>
      </patternFill>
    </fill>
    <fill>
      <patternFill patternType="solid">
        <fgColor rgb="FF67A9CF"/>
        <bgColor indexed="64"/>
      </patternFill>
    </fill>
    <fill>
      <patternFill patternType="solid">
        <fgColor rgb="FF74A9CF"/>
        <bgColor indexed="64"/>
      </patternFill>
    </fill>
    <fill>
      <patternFill patternType="solid">
        <fgColor rgb="FF8C96C6"/>
        <bgColor indexed="64"/>
      </patternFill>
    </fill>
    <fill>
      <patternFill patternType="solid">
        <fgColor rgb="FFF768A1"/>
        <bgColor indexed="64"/>
      </patternFill>
    </fill>
    <fill>
      <patternFill patternType="solid">
        <fgColor rgb="FFDF65B0"/>
        <bgColor indexed="64"/>
      </patternFill>
    </fill>
    <fill>
      <patternFill patternType="solid">
        <fgColor rgb="FFFC8D59"/>
        <bgColor indexed="64"/>
      </patternFill>
    </fill>
    <fill>
      <patternFill patternType="solid">
        <fgColor rgb="FFFD8D3C"/>
        <bgColor indexed="64"/>
      </patternFill>
    </fill>
    <fill>
      <patternFill patternType="solid">
        <fgColor rgb="FFFE9929"/>
        <bgColor indexed="64"/>
      </patternFill>
    </fill>
    <fill>
      <patternFill patternType="solid">
        <fgColor rgb="FF9E9AC8"/>
        <bgColor indexed="64"/>
      </patternFill>
    </fill>
    <fill>
      <patternFill patternType="solid">
        <fgColor rgb="FF6BAED6"/>
        <bgColor indexed="64"/>
      </patternFill>
    </fill>
    <fill>
      <patternFill patternType="solid">
        <fgColor rgb="FF74C476"/>
        <bgColor indexed="64"/>
      </patternFill>
    </fill>
    <fill>
      <patternFill patternType="solid">
        <fgColor rgb="FFFB6A4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BF"/>
        <bgColor indexed="64"/>
      </patternFill>
    </fill>
    <fill>
      <patternFill patternType="solid">
        <fgColor rgb="FFCCEBC5"/>
        <bgColor indexed="64"/>
      </patternFill>
    </fill>
    <fill>
      <patternFill patternType="solid">
        <fgColor rgb="FF4DAF4A"/>
        <bgColor indexed="64"/>
      </patternFill>
    </fill>
    <fill>
      <patternFill patternType="solid">
        <fgColor rgb="FFCBD5E8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7570B3"/>
        <bgColor indexed="64"/>
      </patternFill>
    </fill>
    <fill>
      <patternFill patternType="solid">
        <fgColor rgb="FFFDC086"/>
        <bgColor indexed="64"/>
      </patternFill>
    </fill>
    <fill>
      <patternFill patternType="solid">
        <fgColor rgb="FF31A354"/>
        <bgColor indexed="64"/>
      </patternFill>
    </fill>
    <fill>
      <patternFill patternType="solid">
        <fgColor rgb="FF2C7FB8"/>
        <bgColor indexed="64"/>
      </patternFill>
    </fill>
    <fill>
      <patternFill patternType="solid">
        <fgColor rgb="FF43A2CA"/>
        <bgColor indexed="64"/>
      </patternFill>
    </fill>
    <fill>
      <patternFill patternType="solid">
        <fgColor rgb="FF2CA25F"/>
        <bgColor indexed="64"/>
      </patternFill>
    </fill>
    <fill>
      <patternFill patternType="solid">
        <fgColor rgb="FF1C9099"/>
        <bgColor indexed="64"/>
      </patternFill>
    </fill>
    <fill>
      <patternFill patternType="solid">
        <fgColor rgb="FF2B8CBE"/>
        <bgColor indexed="64"/>
      </patternFill>
    </fill>
    <fill>
      <patternFill patternType="solid">
        <fgColor rgb="FF8856A7"/>
        <bgColor indexed="64"/>
      </patternFill>
    </fill>
    <fill>
      <patternFill patternType="solid">
        <fgColor rgb="FFC51B8A"/>
        <bgColor indexed="64"/>
      </patternFill>
    </fill>
    <fill>
      <patternFill patternType="solid">
        <fgColor rgb="FFDD1C77"/>
        <bgColor indexed="64"/>
      </patternFill>
    </fill>
    <fill>
      <patternFill patternType="solid">
        <fgColor rgb="FFE34A33"/>
        <bgColor indexed="64"/>
      </patternFill>
    </fill>
    <fill>
      <patternFill patternType="solid">
        <fgColor rgb="FFF03B20"/>
        <bgColor indexed="64"/>
      </patternFill>
    </fill>
    <fill>
      <patternFill patternType="solid">
        <fgColor rgb="FFD95F0E"/>
        <bgColor indexed="64"/>
      </patternFill>
    </fill>
    <fill>
      <patternFill patternType="solid">
        <fgColor rgb="FF756BB1"/>
        <bgColor indexed="64"/>
      </patternFill>
    </fill>
    <fill>
      <patternFill patternType="solid">
        <fgColor rgb="FF3182BD"/>
        <bgColor indexed="64"/>
      </patternFill>
    </fill>
    <fill>
      <patternFill patternType="solid">
        <fgColor rgb="FFE6550D"/>
        <bgColor indexed="64"/>
      </patternFill>
    </fill>
    <fill>
      <patternFill patternType="solid">
        <fgColor rgb="FFDE2D26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DECBE4"/>
        <bgColor indexed="64"/>
      </patternFill>
    </fill>
    <fill>
      <patternFill patternType="solid">
        <fgColor rgb="FF984EA3"/>
        <bgColor indexed="64"/>
      </patternFill>
    </fill>
    <fill>
      <patternFill patternType="solid">
        <fgColor rgb="FFF4CAE4"/>
        <bgColor indexed="64"/>
      </patternFill>
    </fill>
    <fill>
      <patternFill patternType="solid">
        <fgColor rgb="FFE78AC3"/>
        <bgColor indexed="64"/>
      </patternFill>
    </fill>
    <fill>
      <patternFill patternType="solid">
        <fgColor rgb="FFE7298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53494"/>
        <bgColor indexed="64"/>
      </patternFill>
    </fill>
    <fill>
      <patternFill patternType="solid">
        <fgColor rgb="FF0868AC"/>
        <bgColor indexed="64"/>
      </patternFill>
    </fill>
    <fill>
      <patternFill patternType="solid">
        <fgColor rgb="FF006D2C"/>
        <bgColor indexed="64"/>
      </patternFill>
    </fill>
    <fill>
      <patternFill patternType="solid">
        <fgColor rgb="FF016C59"/>
        <bgColor indexed="64"/>
      </patternFill>
    </fill>
    <fill>
      <patternFill patternType="solid">
        <fgColor rgb="FF045A8D"/>
        <bgColor indexed="64"/>
      </patternFill>
    </fill>
    <fill>
      <patternFill patternType="solid">
        <fgColor rgb="FF810F7C"/>
        <bgColor indexed="64"/>
      </patternFill>
    </fill>
    <fill>
      <patternFill patternType="solid">
        <fgColor rgb="FF7A0177"/>
        <bgColor indexed="64"/>
      </patternFill>
    </fill>
    <fill>
      <patternFill patternType="solid">
        <fgColor rgb="FF980043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BD0026"/>
        <bgColor indexed="64"/>
      </patternFill>
    </fill>
    <fill>
      <patternFill patternType="solid">
        <fgColor rgb="FF993404"/>
        <bgColor indexed="64"/>
      </patternFill>
    </fill>
    <fill>
      <patternFill patternType="solid">
        <fgColor rgb="FF54278F"/>
        <bgColor indexed="64"/>
      </patternFill>
    </fill>
    <fill>
      <patternFill patternType="solid">
        <fgColor rgb="FF08519C"/>
        <bgColor indexed="64"/>
      </patternFill>
    </fill>
    <fill>
      <patternFill patternType="solid">
        <fgColor rgb="FFA63603"/>
        <bgColor indexed="64"/>
      </patternFill>
    </fill>
    <fill>
      <patternFill patternType="solid">
        <fgColor rgb="FFA50F15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5E3C99"/>
        <bgColor indexed="64"/>
      </patternFill>
    </fill>
    <fill>
      <patternFill patternType="solid">
        <fgColor rgb="FF018571"/>
        <bgColor indexed="64"/>
      </patternFill>
    </fill>
    <fill>
      <patternFill patternType="solid">
        <fgColor rgb="FF008837"/>
        <bgColor indexed="64"/>
      </patternFill>
    </fill>
    <fill>
      <patternFill patternType="solid">
        <fgColor rgb="FF4DAC26"/>
        <bgColor indexed="64"/>
      </patternFill>
    </fill>
    <fill>
      <patternFill patternType="solid">
        <fgColor rgb="FF0571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2C7BB6"/>
        <bgColor indexed="64"/>
      </patternFill>
    </fill>
    <fill>
      <patternFill patternType="solid">
        <fgColor rgb="FF2B83BA"/>
        <bgColor indexed="64"/>
      </patternFill>
    </fill>
    <fill>
      <patternFill patternType="solid">
        <fgColor rgb="FF1A9641"/>
        <bgColor indexed="64"/>
      </patternFill>
    </fill>
    <fill>
      <patternFill patternType="solid">
        <fgColor rgb="FFFED9A6"/>
        <bgColor indexed="64"/>
      </patternFill>
    </fill>
    <fill>
      <patternFill patternType="solid">
        <fgColor rgb="FFE6F5C9"/>
        <bgColor indexed="64"/>
      </patternFill>
    </fill>
    <fill>
      <patternFill patternType="solid">
        <fgColor rgb="FFA6D854"/>
        <bgColor indexed="64"/>
      </patternFill>
    </fill>
    <fill>
      <patternFill patternType="solid">
        <fgColor rgb="FF66A61E"/>
        <bgColor indexed="64"/>
      </patternFill>
    </fill>
    <fill>
      <patternFill patternType="solid">
        <fgColor rgb="FF386CB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42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16" borderId="1" xfId="0" applyFont="1" applyFill="1" applyBorder="1" applyAlignment="1">
      <alignment vertical="center"/>
    </xf>
    <xf numFmtId="0" fontId="4" fillId="35" borderId="2" xfId="0" applyFont="1" applyFill="1" applyBorder="1" applyAlignment="1">
      <alignment vertical="center"/>
    </xf>
    <xf numFmtId="0" fontId="0" fillId="36" borderId="2" xfId="0" applyFill="1" applyBorder="1" applyAlignment="1" applyProtection="1">
      <protection hidden="1"/>
    </xf>
    <xf numFmtId="0" fontId="0" fillId="37" borderId="2" xfId="0" applyFill="1" applyBorder="1" applyAlignment="1" applyProtection="1">
      <protection hidden="1"/>
    </xf>
    <xf numFmtId="0" fontId="0" fillId="38" borderId="2" xfId="0" applyFill="1" applyBorder="1" applyAlignment="1" applyProtection="1">
      <protection hidden="1"/>
    </xf>
    <xf numFmtId="0" fontId="0" fillId="14" borderId="2" xfId="0" applyFill="1" applyBorder="1" applyAlignment="1" applyProtection="1">
      <protection hidden="1"/>
    </xf>
    <xf numFmtId="0" fontId="0" fillId="39" borderId="2" xfId="0" applyFill="1" applyBorder="1" applyAlignment="1" applyProtection="1">
      <protection hidden="1"/>
    </xf>
    <xf numFmtId="0" fontId="0" fillId="40" borderId="2" xfId="0" applyFill="1" applyBorder="1" applyAlignment="1" applyProtection="1">
      <protection hidden="1"/>
    </xf>
    <xf numFmtId="0" fontId="4" fillId="41" borderId="2" xfId="0" applyFont="1" applyFill="1" applyBorder="1" applyAlignment="1">
      <alignment vertical="center"/>
    </xf>
    <xf numFmtId="0" fontId="4" fillId="42" borderId="2" xfId="0" applyFont="1" applyFill="1" applyBorder="1" applyAlignment="1">
      <alignment vertical="center"/>
    </xf>
    <xf numFmtId="0" fontId="4" fillId="43" borderId="2" xfId="0" applyFont="1" applyFill="1" applyBorder="1" applyAlignment="1">
      <alignment vertical="center"/>
    </xf>
    <xf numFmtId="0" fontId="4" fillId="44" borderId="2" xfId="0" applyFont="1" applyFill="1" applyBorder="1" applyAlignment="1">
      <alignment vertical="center"/>
    </xf>
    <xf numFmtId="0" fontId="4" fillId="7" borderId="2" xfId="0" applyFont="1" applyFill="1" applyBorder="1" applyAlignment="1">
      <alignment vertical="center"/>
    </xf>
    <xf numFmtId="0" fontId="4" fillId="45" borderId="2" xfId="0" applyFont="1" applyFill="1" applyBorder="1" applyAlignment="1">
      <alignment vertical="center"/>
    </xf>
    <xf numFmtId="0" fontId="4" fillId="46" borderId="2" xfId="0" applyFont="1" applyFill="1" applyBorder="1" applyAlignment="1">
      <alignment vertical="center"/>
    </xf>
    <xf numFmtId="0" fontId="4" fillId="47" borderId="2" xfId="0" applyFont="1" applyFill="1" applyBorder="1" applyAlignment="1">
      <alignment vertical="center"/>
    </xf>
    <xf numFmtId="0" fontId="6" fillId="48" borderId="2" xfId="0" applyFont="1" applyFill="1" applyBorder="1" applyAlignment="1" applyProtection="1">
      <alignment vertical="center"/>
      <protection hidden="1"/>
    </xf>
    <xf numFmtId="0" fontId="6" fillId="49" borderId="2" xfId="0" applyFont="1" applyFill="1" applyBorder="1" applyAlignment="1" applyProtection="1">
      <alignment vertical="center"/>
      <protection hidden="1"/>
    </xf>
    <xf numFmtId="0" fontId="6" fillId="50" borderId="2" xfId="0" applyFont="1" applyFill="1" applyBorder="1" applyAlignment="1" applyProtection="1">
      <alignment vertical="center"/>
      <protection hidden="1"/>
    </xf>
    <xf numFmtId="0" fontId="6" fillId="51" borderId="2" xfId="0" applyFont="1" applyFill="1" applyBorder="1" applyAlignment="1" applyProtection="1">
      <alignment vertical="center"/>
      <protection hidden="1"/>
    </xf>
    <xf numFmtId="0" fontId="6" fillId="52" borderId="2" xfId="0" applyFont="1" applyFill="1" applyBorder="1" applyAlignment="1" applyProtection="1">
      <alignment vertical="center"/>
      <protection hidden="1"/>
    </xf>
    <xf numFmtId="0" fontId="6" fillId="53" borderId="2" xfId="0" applyFont="1" applyFill="1" applyBorder="1" applyAlignment="1" applyProtection="1">
      <alignment vertical="center"/>
      <protection hidden="1"/>
    </xf>
    <xf numFmtId="0" fontId="4" fillId="54" borderId="2" xfId="0" applyFont="1" applyFill="1" applyBorder="1" applyAlignment="1">
      <alignment vertical="center"/>
    </xf>
    <xf numFmtId="0" fontId="0" fillId="55" borderId="2" xfId="0" applyFill="1" applyBorder="1" applyAlignment="1" applyProtection="1">
      <protection hidden="1"/>
    </xf>
    <xf numFmtId="0" fontId="0" fillId="56" borderId="2" xfId="0" applyFill="1" applyBorder="1" applyAlignment="1" applyProtection="1">
      <protection hidden="1"/>
    </xf>
    <xf numFmtId="0" fontId="0" fillId="57" borderId="2" xfId="0" applyFill="1" applyBorder="1" applyAlignment="1" applyProtection="1">
      <protection hidden="1"/>
    </xf>
    <xf numFmtId="0" fontId="0" fillId="13" borderId="2" xfId="0" applyFill="1" applyBorder="1" applyAlignment="1" applyProtection="1">
      <protection hidden="1"/>
    </xf>
    <xf numFmtId="0" fontId="0" fillId="58" borderId="2" xfId="0" applyFill="1" applyBorder="1" applyAlignment="1" applyProtection="1">
      <protection hidden="1"/>
    </xf>
    <xf numFmtId="0" fontId="0" fillId="59" borderId="2" xfId="0" applyFill="1" applyBorder="1" applyAlignment="1" applyProtection="1">
      <protection hidden="1"/>
    </xf>
    <xf numFmtId="0" fontId="4" fillId="60" borderId="2" xfId="0" applyFont="1" applyFill="1" applyBorder="1" applyAlignment="1">
      <alignment vertical="center"/>
    </xf>
    <xf numFmtId="0" fontId="4" fillId="61" borderId="2" xfId="0" applyFont="1" applyFill="1" applyBorder="1" applyAlignment="1">
      <alignment vertical="center"/>
    </xf>
    <xf numFmtId="0" fontId="4" fillId="62" borderId="2" xfId="0" applyFont="1" applyFill="1" applyBorder="1" applyAlignment="1">
      <alignment vertical="center"/>
    </xf>
    <xf numFmtId="0" fontId="4" fillId="63" borderId="2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64" borderId="2" xfId="0" applyFont="1" applyFill="1" applyBorder="1" applyAlignment="1">
      <alignment vertical="center"/>
    </xf>
    <xf numFmtId="0" fontId="4" fillId="65" borderId="2" xfId="0" applyFont="1" applyFill="1" applyBorder="1" applyAlignment="1">
      <alignment vertical="center"/>
    </xf>
    <xf numFmtId="0" fontId="6" fillId="66" borderId="2" xfId="0" applyFont="1" applyFill="1" applyBorder="1" applyAlignment="1" applyProtection="1">
      <alignment vertical="center"/>
      <protection hidden="1"/>
    </xf>
    <xf numFmtId="0" fontId="6" fillId="67" borderId="2" xfId="0" applyFont="1" applyFill="1" applyBorder="1" applyAlignment="1" applyProtection="1">
      <alignment vertical="center"/>
      <protection hidden="1"/>
    </xf>
    <xf numFmtId="0" fontId="6" fillId="68" borderId="2" xfId="0" applyFont="1" applyFill="1" applyBorder="1" applyAlignment="1" applyProtection="1">
      <alignment vertical="center"/>
      <protection hidden="1"/>
    </xf>
    <xf numFmtId="0" fontId="6" fillId="69" borderId="2" xfId="0" applyFont="1" applyFill="1" applyBorder="1" applyAlignment="1" applyProtection="1">
      <alignment vertical="center"/>
      <protection hidden="1"/>
    </xf>
    <xf numFmtId="0" fontId="6" fillId="70" borderId="2" xfId="0" applyFont="1" applyFill="1" applyBorder="1" applyAlignment="1" applyProtection="1">
      <alignment vertical="center"/>
      <protection hidden="1"/>
    </xf>
    <xf numFmtId="0" fontId="6" fillId="71" borderId="2" xfId="0" applyFont="1" applyFill="1" applyBorder="1" applyAlignment="1" applyProtection="1">
      <alignment vertical="center"/>
      <protection hidden="1"/>
    </xf>
    <xf numFmtId="0" fontId="4" fillId="72" borderId="2" xfId="0" applyFont="1" applyFill="1" applyBorder="1" applyAlignment="1">
      <alignment vertical="center"/>
    </xf>
    <xf numFmtId="0" fontId="0" fillId="73" borderId="2" xfId="0" applyFill="1" applyBorder="1" applyAlignment="1" applyProtection="1">
      <protection hidden="1"/>
    </xf>
    <xf numFmtId="0" fontId="0" fillId="74" borderId="2" xfId="0" applyFill="1" applyBorder="1" applyAlignment="1" applyProtection="1">
      <protection hidden="1"/>
    </xf>
    <xf numFmtId="0" fontId="0" fillId="75" borderId="2" xfId="0" applyFill="1" applyBorder="1" applyAlignment="1" applyProtection="1">
      <protection hidden="1"/>
    </xf>
    <xf numFmtId="0" fontId="0" fillId="12" borderId="2" xfId="0" applyFill="1" applyBorder="1" applyAlignment="1" applyProtection="1">
      <protection hidden="1"/>
    </xf>
    <xf numFmtId="0" fontId="0" fillId="76" borderId="2" xfId="0" applyFill="1" applyBorder="1" applyAlignment="1" applyProtection="1">
      <protection hidden="1"/>
    </xf>
    <xf numFmtId="0" fontId="0" fillId="77" borderId="2" xfId="0" applyFill="1" applyBorder="1" applyAlignment="1" applyProtection="1">
      <protection hidden="1"/>
    </xf>
    <xf numFmtId="0" fontId="4" fillId="78" borderId="2" xfId="0" applyFont="1" applyFill="1" applyBorder="1" applyAlignment="1">
      <alignment vertical="center"/>
    </xf>
    <xf numFmtId="0" fontId="4" fillId="79" borderId="2" xfId="0" applyFont="1" applyFill="1" applyBorder="1" applyAlignment="1">
      <alignment vertical="center"/>
    </xf>
    <xf numFmtId="0" fontId="4" fillId="80" borderId="2" xfId="0" applyFont="1" applyFill="1" applyBorder="1" applyAlignment="1">
      <alignment vertical="center"/>
    </xf>
    <xf numFmtId="0" fontId="4" fillId="81" borderId="2" xfId="0" applyFont="1" applyFill="1" applyBorder="1" applyAlignment="1">
      <alignment vertical="center"/>
    </xf>
    <xf numFmtId="0" fontId="4" fillId="9" borderId="2" xfId="0" applyFont="1" applyFill="1" applyBorder="1" applyAlignment="1">
      <alignment vertical="center"/>
    </xf>
    <xf numFmtId="0" fontId="4" fillId="82" borderId="2" xfId="0" applyFont="1" applyFill="1" applyBorder="1" applyAlignment="1">
      <alignment vertical="center"/>
    </xf>
    <xf numFmtId="0" fontId="4" fillId="83" borderId="2" xfId="0" applyFont="1" applyFill="1" applyBorder="1" applyAlignment="1">
      <alignment vertical="center"/>
    </xf>
    <xf numFmtId="0" fontId="6" fillId="84" borderId="2" xfId="0" applyFont="1" applyFill="1" applyBorder="1" applyAlignment="1" applyProtection="1">
      <alignment vertical="center"/>
      <protection hidden="1"/>
    </xf>
    <xf numFmtId="0" fontId="6" fillId="85" borderId="2" xfId="0" applyFont="1" applyFill="1" applyBorder="1" applyAlignment="1" applyProtection="1">
      <alignment vertical="center"/>
      <protection hidden="1"/>
    </xf>
    <xf numFmtId="0" fontId="6" fillId="86" borderId="2" xfId="0" applyFont="1" applyFill="1" applyBorder="1" applyAlignment="1" applyProtection="1">
      <alignment vertical="center"/>
      <protection hidden="1"/>
    </xf>
    <xf numFmtId="0" fontId="6" fillId="87" borderId="2" xfId="0" applyFont="1" applyFill="1" applyBorder="1" applyAlignment="1" applyProtection="1">
      <alignment vertical="center"/>
      <protection hidden="1"/>
    </xf>
    <xf numFmtId="0" fontId="6" fillId="88" borderId="2" xfId="0" applyFont="1" applyFill="1" applyBorder="1" applyAlignment="1" applyProtection="1">
      <alignment vertical="center"/>
      <protection hidden="1"/>
    </xf>
    <xf numFmtId="0" fontId="6" fillId="89" borderId="2" xfId="0" applyFont="1" applyFill="1" applyBorder="1" applyAlignment="1" applyProtection="1">
      <alignment vertical="center"/>
      <protection hidden="1"/>
    </xf>
    <xf numFmtId="0" fontId="4" fillId="90" borderId="2" xfId="0" applyFont="1" applyFill="1" applyBorder="1" applyAlignment="1">
      <alignment vertical="center"/>
    </xf>
    <xf numFmtId="0" fontId="0" fillId="91" borderId="2" xfId="0" applyFill="1" applyBorder="1" applyAlignment="1" applyProtection="1">
      <protection hidden="1"/>
    </xf>
    <xf numFmtId="0" fontId="0" fillId="92" borderId="2" xfId="0" applyFill="1" applyBorder="1" applyAlignment="1" applyProtection="1">
      <protection hidden="1"/>
    </xf>
    <xf numFmtId="0" fontId="0" fillId="93" borderId="2" xfId="0" applyFill="1" applyBorder="1" applyAlignment="1" applyProtection="1">
      <protection hidden="1"/>
    </xf>
    <xf numFmtId="0" fontId="0" fillId="11" borderId="2" xfId="0" applyFill="1" applyBorder="1" applyAlignment="1" applyProtection="1">
      <protection hidden="1"/>
    </xf>
    <xf numFmtId="0" fontId="0" fillId="94" borderId="2" xfId="0" applyFill="1" applyBorder="1" applyAlignment="1" applyProtection="1">
      <protection hidden="1"/>
    </xf>
    <xf numFmtId="0" fontId="0" fillId="95" borderId="2" xfId="0" applyFill="1" applyBorder="1" applyAlignment="1" applyProtection="1">
      <protection hidden="1"/>
    </xf>
    <xf numFmtId="0" fontId="4" fillId="96" borderId="2" xfId="0" applyFont="1" applyFill="1" applyBorder="1" applyAlignment="1">
      <alignment vertical="center"/>
    </xf>
    <xf numFmtId="0" fontId="4" fillId="97" borderId="2" xfId="0" applyFont="1" applyFill="1" applyBorder="1" applyAlignment="1">
      <alignment vertical="center"/>
    </xf>
    <xf numFmtId="0" fontId="4" fillId="98" borderId="2" xfId="0" applyFont="1" applyFill="1" applyBorder="1" applyAlignment="1">
      <alignment vertical="center"/>
    </xf>
    <xf numFmtId="0" fontId="4" fillId="99" borderId="2" xfId="0" applyFont="1" applyFill="1" applyBorder="1" applyAlignment="1">
      <alignment vertical="center"/>
    </xf>
    <xf numFmtId="0" fontId="4" fillId="10" borderId="2" xfId="0" applyFont="1" applyFill="1" applyBorder="1" applyAlignment="1">
      <alignment vertical="center"/>
    </xf>
    <xf numFmtId="0" fontId="4" fillId="100" borderId="2" xfId="0" applyFont="1" applyFill="1" applyBorder="1" applyAlignment="1">
      <alignment vertical="center"/>
    </xf>
    <xf numFmtId="0" fontId="4" fillId="101" borderId="2" xfId="0" applyFont="1" applyFill="1" applyBorder="1" applyAlignment="1">
      <alignment vertical="center"/>
    </xf>
    <xf numFmtId="0" fontId="4" fillId="102" borderId="2" xfId="0" applyFont="1" applyFill="1" applyBorder="1" applyAlignment="1">
      <alignment vertical="center"/>
    </xf>
    <xf numFmtId="0" fontId="6" fillId="103" borderId="2" xfId="0" applyFont="1" applyFill="1" applyBorder="1" applyAlignment="1" applyProtection="1">
      <alignment vertical="center"/>
      <protection hidden="1"/>
    </xf>
    <xf numFmtId="0" fontId="6" fillId="104" borderId="2" xfId="0" applyFont="1" applyFill="1" applyBorder="1" applyAlignment="1" applyProtection="1">
      <alignment vertical="center"/>
      <protection hidden="1"/>
    </xf>
    <xf numFmtId="0" fontId="6" fillId="105" borderId="2" xfId="0" applyFont="1" applyFill="1" applyBorder="1" applyAlignment="1" applyProtection="1">
      <alignment vertical="center"/>
      <protection hidden="1"/>
    </xf>
    <xf numFmtId="0" fontId="6" fillId="106" borderId="2" xfId="0" applyFont="1" applyFill="1" applyBorder="1" applyAlignment="1" applyProtection="1">
      <alignment vertical="center"/>
      <protection hidden="1"/>
    </xf>
    <xf numFmtId="0" fontId="6" fillId="107" borderId="2" xfId="0" applyFont="1" applyFill="1" applyBorder="1" applyAlignment="1" applyProtection="1">
      <alignment vertical="center"/>
      <protection hidden="1"/>
    </xf>
    <xf numFmtId="0" fontId="6" fillId="108" borderId="2" xfId="0" applyFont="1" applyFill="1" applyBorder="1" applyAlignment="1" applyProtection="1">
      <alignment vertical="center"/>
      <protection hidden="1"/>
    </xf>
    <xf numFmtId="0" fontId="0" fillId="98" borderId="2" xfId="0" applyFill="1" applyBorder="1" applyAlignment="1" applyProtection="1">
      <protection hidden="1"/>
    </xf>
    <xf numFmtId="0" fontId="0" fillId="97" borderId="2" xfId="0" applyFill="1" applyBorder="1" applyAlignment="1" applyProtection="1">
      <protection hidden="1"/>
    </xf>
    <xf numFmtId="0" fontId="0" fillId="96" borderId="2" xfId="0" applyFill="1" applyBorder="1" applyAlignment="1" applyProtection="1">
      <protection hidden="1"/>
    </xf>
    <xf numFmtId="0" fontId="0" fillId="10" borderId="2" xfId="0" applyFill="1" applyBorder="1" applyAlignment="1" applyProtection="1">
      <protection hidden="1"/>
    </xf>
    <xf numFmtId="0" fontId="0" fillId="99" borderId="2" xfId="0" applyFill="1" applyBorder="1" applyAlignment="1" applyProtection="1">
      <protection hidden="1"/>
    </xf>
    <xf numFmtId="0" fontId="0" fillId="109" borderId="2" xfId="0" applyFill="1" applyBorder="1" applyAlignment="1" applyProtection="1">
      <protection hidden="1"/>
    </xf>
    <xf numFmtId="0" fontId="4" fillId="93" borderId="2" xfId="0" applyFont="1" applyFill="1" applyBorder="1" applyAlignment="1">
      <alignment vertical="center"/>
    </xf>
    <xf numFmtId="0" fontId="4" fillId="92" borderId="2" xfId="0" applyFont="1" applyFill="1" applyBorder="1" applyAlignment="1">
      <alignment vertical="center"/>
    </xf>
    <xf numFmtId="0" fontId="4" fillId="91" borderId="2" xfId="0" applyFont="1" applyFill="1" applyBorder="1" applyAlignment="1">
      <alignment vertical="center"/>
    </xf>
    <xf numFmtId="0" fontId="4" fillId="94" borderId="2" xfId="0" applyFont="1" applyFill="1" applyBorder="1" applyAlignment="1">
      <alignment vertical="center"/>
    </xf>
    <xf numFmtId="0" fontId="4" fillId="110" borderId="2" xfId="0" applyFont="1" applyFill="1" applyBorder="1" applyAlignment="1">
      <alignment vertical="center"/>
    </xf>
    <xf numFmtId="0" fontId="4" fillId="11" borderId="2" xfId="0" applyFont="1" applyFill="1" applyBorder="1" applyAlignment="1">
      <alignment vertical="center"/>
    </xf>
    <xf numFmtId="0" fontId="4" fillId="111" borderId="2" xfId="0" applyFont="1" applyFill="1" applyBorder="1" applyAlignment="1">
      <alignment vertical="center"/>
    </xf>
    <xf numFmtId="0" fontId="4" fillId="112" borderId="2" xfId="0" applyFont="1" applyFill="1" applyBorder="1" applyAlignment="1">
      <alignment vertical="center"/>
    </xf>
    <xf numFmtId="0" fontId="4" fillId="113" borderId="2" xfId="0" applyFont="1" applyFill="1" applyBorder="1" applyAlignment="1">
      <alignment vertical="center"/>
    </xf>
    <xf numFmtId="0" fontId="6" fillId="114" borderId="2" xfId="0" applyFont="1" applyFill="1" applyBorder="1" applyAlignment="1" applyProtection="1">
      <alignment vertical="center"/>
      <protection hidden="1"/>
    </xf>
    <xf numFmtId="0" fontId="6" fillId="115" borderId="2" xfId="0" applyFont="1" applyFill="1" applyBorder="1" applyAlignment="1" applyProtection="1">
      <alignment vertical="center"/>
      <protection hidden="1"/>
    </xf>
    <xf numFmtId="0" fontId="6" fillId="116" borderId="2" xfId="0" applyFont="1" applyFill="1" applyBorder="1" applyAlignment="1" applyProtection="1">
      <alignment vertical="center"/>
      <protection hidden="1"/>
    </xf>
    <xf numFmtId="0" fontId="6" fillId="117" borderId="2" xfId="0" applyFont="1" applyFill="1" applyBorder="1" applyAlignment="1" applyProtection="1">
      <alignment vertical="center"/>
      <protection hidden="1"/>
    </xf>
    <xf numFmtId="0" fontId="6" fillId="118" borderId="2" xfId="0" applyFont="1" applyFill="1" applyBorder="1" applyAlignment="1" applyProtection="1">
      <alignment vertical="center"/>
      <protection hidden="1"/>
    </xf>
    <xf numFmtId="0" fontId="6" fillId="2" borderId="2" xfId="0" applyFont="1" applyFill="1" applyBorder="1" applyAlignment="1" applyProtection="1">
      <alignment vertical="center"/>
      <protection hidden="1"/>
    </xf>
    <xf numFmtId="0" fontId="0" fillId="80" borderId="2" xfId="0" applyFill="1" applyBorder="1" applyAlignment="1" applyProtection="1">
      <protection hidden="1"/>
    </xf>
    <xf numFmtId="0" fontId="0" fillId="79" borderId="2" xfId="0" applyFill="1" applyBorder="1" applyAlignment="1" applyProtection="1">
      <protection hidden="1"/>
    </xf>
    <xf numFmtId="0" fontId="0" fillId="119" borderId="2" xfId="0" applyFill="1" applyBorder="1" applyAlignment="1" applyProtection="1">
      <protection hidden="1"/>
    </xf>
    <xf numFmtId="0" fontId="0" fillId="9" borderId="2" xfId="0" applyFill="1" applyBorder="1" applyAlignment="1" applyProtection="1">
      <protection hidden="1"/>
    </xf>
    <xf numFmtId="0" fontId="0" fillId="81" borderId="2" xfId="0" applyFill="1" applyBorder="1" applyAlignment="1" applyProtection="1">
      <protection hidden="1"/>
    </xf>
    <xf numFmtId="0" fontId="0" fillId="120" borderId="2" xfId="0" applyFill="1" applyBorder="1" applyAlignment="1" applyProtection="1">
      <protection hidden="1"/>
    </xf>
    <xf numFmtId="0" fontId="4" fillId="75" borderId="2" xfId="0" applyFont="1" applyFill="1" applyBorder="1" applyAlignment="1">
      <alignment vertical="center"/>
    </xf>
    <xf numFmtId="0" fontId="4" fillId="74" borderId="2" xfId="0" applyFont="1" applyFill="1" applyBorder="1" applyAlignment="1">
      <alignment vertical="center"/>
    </xf>
    <xf numFmtId="0" fontId="4" fillId="73" borderId="2" xfId="0" applyFont="1" applyFill="1" applyBorder="1" applyAlignment="1">
      <alignment vertical="center"/>
    </xf>
    <xf numFmtId="0" fontId="4" fillId="76" borderId="2" xfId="0" applyFont="1" applyFill="1" applyBorder="1" applyAlignment="1">
      <alignment vertical="center"/>
    </xf>
    <xf numFmtId="0" fontId="4" fillId="121" borderId="2" xfId="0" applyFont="1" applyFill="1" applyBorder="1" applyAlignment="1">
      <alignment vertical="center"/>
    </xf>
    <xf numFmtId="0" fontId="4" fillId="12" borderId="2" xfId="0" applyFont="1" applyFill="1" applyBorder="1" applyAlignment="1">
      <alignment vertical="center"/>
    </xf>
    <xf numFmtId="0" fontId="4" fillId="122" borderId="2" xfId="0" applyFont="1" applyFill="1" applyBorder="1" applyAlignment="1">
      <alignment vertical="center"/>
    </xf>
    <xf numFmtId="0" fontId="4" fillId="123" borderId="2" xfId="0" applyFont="1" applyFill="1" applyBorder="1" applyAlignment="1">
      <alignment vertical="center"/>
    </xf>
    <xf numFmtId="0" fontId="4" fillId="124" borderId="2" xfId="0" applyFont="1" applyFill="1" applyBorder="1" applyAlignment="1">
      <alignment vertical="center"/>
    </xf>
    <xf numFmtId="0" fontId="6" fillId="125" borderId="2" xfId="0" applyFont="1" applyFill="1" applyBorder="1" applyAlignment="1" applyProtection="1">
      <alignment vertical="center"/>
      <protection hidden="1"/>
    </xf>
    <xf numFmtId="0" fontId="6" fillId="126" borderId="2" xfId="0" applyFont="1" applyFill="1" applyBorder="1" applyAlignment="1" applyProtection="1">
      <alignment vertical="center"/>
      <protection hidden="1"/>
    </xf>
    <xf numFmtId="0" fontId="6" fillId="127" borderId="2" xfId="0" applyFont="1" applyFill="1" applyBorder="1" applyAlignment="1" applyProtection="1">
      <alignment vertical="center"/>
      <protection hidden="1"/>
    </xf>
    <xf numFmtId="0" fontId="6" fillId="128" borderId="2" xfId="0" applyFont="1" applyFill="1" applyBorder="1" applyAlignment="1" applyProtection="1">
      <alignment vertical="center"/>
      <protection hidden="1"/>
    </xf>
    <xf numFmtId="0" fontId="6" fillId="129" borderId="2" xfId="0" applyFont="1" applyFill="1" applyBorder="1" applyAlignment="1" applyProtection="1">
      <alignment vertical="center"/>
      <protection hidden="1"/>
    </xf>
    <xf numFmtId="0" fontId="6" fillId="3" borderId="2" xfId="0" applyFont="1" applyFill="1" applyBorder="1" applyAlignment="1" applyProtection="1">
      <alignment vertical="center"/>
      <protection hidden="1"/>
    </xf>
    <xf numFmtId="0" fontId="0" fillId="62" borderId="2" xfId="0" applyFill="1" applyBorder="1" applyAlignment="1" applyProtection="1">
      <protection hidden="1"/>
    </xf>
    <xf numFmtId="0" fontId="0" fillId="61" borderId="2" xfId="0" applyFill="1" applyBorder="1" applyAlignment="1" applyProtection="1">
      <protection hidden="1"/>
    </xf>
    <xf numFmtId="0" fontId="0" fillId="60" borderId="2" xfId="0" applyFill="1" applyBorder="1" applyAlignment="1" applyProtection="1">
      <protection hidden="1"/>
    </xf>
    <xf numFmtId="0" fontId="0" fillId="8" borderId="2" xfId="0" applyFill="1" applyBorder="1" applyAlignment="1" applyProtection="1">
      <protection hidden="1"/>
    </xf>
    <xf numFmtId="0" fontId="0" fillId="63" borderId="2" xfId="0" applyFill="1" applyBorder="1" applyAlignment="1" applyProtection="1">
      <protection hidden="1"/>
    </xf>
    <xf numFmtId="0" fontId="0" fillId="130" borderId="2" xfId="0" applyFill="1" applyBorder="1" applyAlignment="1" applyProtection="1">
      <protection hidden="1"/>
    </xf>
    <xf numFmtId="0" fontId="4" fillId="57" borderId="2" xfId="0" applyFont="1" applyFill="1" applyBorder="1" applyAlignment="1">
      <alignment vertical="center"/>
    </xf>
    <xf numFmtId="0" fontId="4" fillId="56" borderId="2" xfId="0" applyFont="1" applyFill="1" applyBorder="1" applyAlignment="1">
      <alignment vertical="center"/>
    </xf>
    <xf numFmtId="0" fontId="4" fillId="55" borderId="2" xfId="0" applyFont="1" applyFill="1" applyBorder="1" applyAlignment="1">
      <alignment vertical="center"/>
    </xf>
    <xf numFmtId="0" fontId="4" fillId="58" borderId="2" xfId="0" applyFont="1" applyFill="1" applyBorder="1" applyAlignment="1">
      <alignment vertical="center"/>
    </xf>
    <xf numFmtId="0" fontId="4" fillId="131" borderId="2" xfId="0" applyFont="1" applyFill="1" applyBorder="1" applyAlignment="1">
      <alignment vertical="center"/>
    </xf>
    <xf numFmtId="0" fontId="4" fillId="13" borderId="2" xfId="0" applyFont="1" applyFill="1" applyBorder="1" applyAlignment="1">
      <alignment vertical="center"/>
    </xf>
    <xf numFmtId="0" fontId="4" fillId="132" borderId="2" xfId="0" applyFont="1" applyFill="1" applyBorder="1" applyAlignment="1">
      <alignment vertical="center"/>
    </xf>
    <xf numFmtId="0" fontId="4" fillId="133" borderId="2" xfId="0" applyFont="1" applyFill="1" applyBorder="1" applyAlignment="1">
      <alignment vertical="center"/>
    </xf>
    <xf numFmtId="0" fontId="4" fillId="134" borderId="2" xfId="0" applyFont="1" applyFill="1" applyBorder="1" applyAlignment="1">
      <alignment vertical="center"/>
    </xf>
    <xf numFmtId="0" fontId="6" fillId="135" borderId="2" xfId="0" applyFont="1" applyFill="1" applyBorder="1" applyAlignment="1" applyProtection="1">
      <alignment vertical="center"/>
      <protection hidden="1"/>
    </xf>
    <xf numFmtId="0" fontId="6" fillId="136" borderId="2" xfId="0" applyFont="1" applyFill="1" applyBorder="1" applyAlignment="1" applyProtection="1">
      <alignment vertical="center"/>
      <protection hidden="1"/>
    </xf>
    <xf numFmtId="0" fontId="6" fillId="137" borderId="2" xfId="0" applyFont="1" applyFill="1" applyBorder="1" applyAlignment="1" applyProtection="1">
      <alignment vertical="center"/>
      <protection hidden="1"/>
    </xf>
    <xf numFmtId="0" fontId="6" fillId="138" borderId="2" xfId="0" applyFont="1" applyFill="1" applyBorder="1" applyAlignment="1" applyProtection="1">
      <alignment vertical="center"/>
      <protection hidden="1"/>
    </xf>
    <xf numFmtId="0" fontId="6" fillId="139" borderId="2" xfId="0" applyFont="1" applyFill="1" applyBorder="1" applyAlignment="1" applyProtection="1">
      <alignment vertical="center"/>
      <protection hidden="1"/>
    </xf>
    <xf numFmtId="0" fontId="6" fillId="4" borderId="2" xfId="0" applyFont="1" applyFill="1" applyBorder="1" applyAlignment="1" applyProtection="1">
      <alignment vertical="center"/>
      <protection hidden="1"/>
    </xf>
    <xf numFmtId="0" fontId="0" fillId="140" borderId="2" xfId="0" applyFill="1" applyBorder="1" applyAlignment="1" applyProtection="1">
      <protection hidden="1"/>
    </xf>
    <xf numFmtId="0" fontId="0" fillId="42" borderId="2" xfId="0" applyFill="1" applyBorder="1" applyAlignment="1" applyProtection="1">
      <protection hidden="1"/>
    </xf>
    <xf numFmtId="0" fontId="0" fillId="141" borderId="2" xfId="0" applyFill="1" applyBorder="1" applyAlignment="1" applyProtection="1">
      <protection hidden="1"/>
    </xf>
    <xf numFmtId="0" fontId="0" fillId="7" borderId="2" xfId="0" applyFill="1" applyBorder="1" applyAlignment="1" applyProtection="1">
      <protection hidden="1"/>
    </xf>
    <xf numFmtId="0" fontId="0" fillId="44" borderId="2" xfId="0" applyFill="1" applyBorder="1" applyAlignment="1" applyProtection="1">
      <protection hidden="1"/>
    </xf>
    <xf numFmtId="0" fontId="0" fillId="142" borderId="2" xfId="0" applyFill="1" applyBorder="1" applyAlignment="1" applyProtection="1">
      <protection hidden="1"/>
    </xf>
    <xf numFmtId="0" fontId="4" fillId="38" borderId="2" xfId="0" applyFont="1" applyFill="1" applyBorder="1" applyAlignment="1">
      <alignment vertical="center"/>
    </xf>
    <xf numFmtId="0" fontId="4" fillId="37" borderId="2" xfId="0" applyFont="1" applyFill="1" applyBorder="1" applyAlignment="1">
      <alignment vertical="center"/>
    </xf>
    <xf numFmtId="0" fontId="4" fillId="36" borderId="2" xfId="0" applyFont="1" applyFill="1" applyBorder="1" applyAlignment="1">
      <alignment vertical="center"/>
    </xf>
    <xf numFmtId="0" fontId="4" fillId="39" borderId="2" xfId="0" applyFont="1" applyFill="1" applyBorder="1" applyAlignment="1">
      <alignment vertical="center"/>
    </xf>
    <xf numFmtId="0" fontId="4" fillId="143" borderId="2" xfId="0" applyFont="1" applyFill="1" applyBorder="1" applyAlignment="1">
      <alignment vertical="center"/>
    </xf>
    <xf numFmtId="0" fontId="4" fillId="14" borderId="2" xfId="0" applyFont="1" applyFill="1" applyBorder="1" applyAlignment="1">
      <alignment vertical="center"/>
    </xf>
    <xf numFmtId="0" fontId="4" fillId="144" borderId="2" xfId="0" applyFont="1" applyFill="1" applyBorder="1" applyAlignment="1">
      <alignment vertical="center"/>
    </xf>
    <xf numFmtId="0" fontId="4" fillId="145" borderId="2" xfId="0" applyFont="1" applyFill="1" applyBorder="1" applyAlignment="1">
      <alignment vertical="center"/>
    </xf>
    <xf numFmtId="0" fontId="4" fillId="146" borderId="2" xfId="0" applyFont="1" applyFill="1" applyBorder="1" applyAlignment="1">
      <alignment vertical="center"/>
    </xf>
    <xf numFmtId="0" fontId="6" fillId="147" borderId="2" xfId="0" applyFont="1" applyFill="1" applyBorder="1" applyAlignment="1" applyProtection="1">
      <alignment vertical="center"/>
      <protection hidden="1"/>
    </xf>
    <xf numFmtId="0" fontId="6" fillId="148" borderId="2" xfId="0" applyFont="1" applyFill="1" applyBorder="1" applyAlignment="1" applyProtection="1">
      <alignment vertical="center"/>
      <protection hidden="1"/>
    </xf>
    <xf numFmtId="0" fontId="6" fillId="149" borderId="2" xfId="0" applyFont="1" applyFill="1" applyBorder="1" applyAlignment="1" applyProtection="1">
      <alignment vertical="center"/>
      <protection hidden="1"/>
    </xf>
    <xf numFmtId="0" fontId="6" fillId="150" borderId="2" xfId="0" applyFont="1" applyFill="1" applyBorder="1" applyAlignment="1" applyProtection="1">
      <alignment vertical="center"/>
      <protection hidden="1"/>
    </xf>
    <xf numFmtId="0" fontId="6" fillId="151" borderId="2" xfId="0" applyFont="1" applyFill="1" applyBorder="1" applyAlignment="1" applyProtection="1">
      <alignment vertical="center"/>
      <protection hidden="1"/>
    </xf>
    <xf numFmtId="0" fontId="6" fillId="152" borderId="2" xfId="0" applyFont="1" applyFill="1" applyBorder="1" applyAlignment="1" applyProtection="1">
      <alignment vertical="center"/>
      <protection hidden="1"/>
    </xf>
    <xf numFmtId="0" fontId="4" fillId="6" borderId="2" xfId="0" applyFont="1" applyFill="1" applyBorder="1" applyAlignment="1">
      <alignment vertical="center"/>
    </xf>
    <xf numFmtId="0" fontId="0" fillId="24" borderId="2" xfId="0" applyFill="1" applyBorder="1" applyAlignment="1" applyProtection="1">
      <protection hidden="1"/>
    </xf>
    <xf numFmtId="0" fontId="0" fillId="23" borderId="2" xfId="0" applyFill="1" applyBorder="1" applyAlignment="1" applyProtection="1">
      <protection hidden="1"/>
    </xf>
    <xf numFmtId="0" fontId="0" fillId="22" borderId="2" xfId="0" applyFill="1" applyBorder="1" applyAlignment="1" applyProtection="1">
      <protection hidden="1"/>
    </xf>
    <xf numFmtId="0" fontId="0" fillId="6" borderId="2" xfId="0" applyFill="1" applyBorder="1" applyAlignment="1" applyProtection="1">
      <protection hidden="1"/>
    </xf>
    <xf numFmtId="0" fontId="0" fillId="153" borderId="2" xfId="0" applyFill="1" applyBorder="1" applyAlignment="1" applyProtection="1">
      <protection hidden="1"/>
    </xf>
    <xf numFmtId="0" fontId="0" fillId="154" borderId="2" xfId="0" applyFill="1" applyBorder="1" applyAlignment="1" applyProtection="1">
      <protection hidden="1"/>
    </xf>
    <xf numFmtId="0" fontId="4" fillId="19" borderId="2" xfId="0" applyFont="1" applyFill="1" applyBorder="1" applyAlignment="1">
      <alignment vertical="center"/>
    </xf>
    <xf numFmtId="0" fontId="4" fillId="18" borderId="2" xfId="0" applyFont="1" applyFill="1" applyBorder="1" applyAlignment="1">
      <alignment vertical="center"/>
    </xf>
    <xf numFmtId="0" fontId="4" fillId="17" borderId="2" xfId="0" applyFont="1" applyFill="1" applyBorder="1" applyAlignment="1">
      <alignment vertical="center"/>
    </xf>
    <xf numFmtId="0" fontId="4" fillId="20" borderId="2" xfId="0" applyFont="1" applyFill="1" applyBorder="1" applyAlignment="1">
      <alignment vertical="center"/>
    </xf>
    <xf numFmtId="0" fontId="4" fillId="155" borderId="2" xfId="0" applyFont="1" applyFill="1" applyBorder="1" applyAlignment="1">
      <alignment vertical="center"/>
    </xf>
    <xf numFmtId="0" fontId="4" fillId="15" borderId="2" xfId="0" applyFont="1" applyFill="1" applyBorder="1" applyAlignment="1">
      <alignment vertical="center"/>
    </xf>
    <xf numFmtId="0" fontId="4" fillId="156" borderId="2" xfId="0" applyFont="1" applyFill="1" applyBorder="1" applyAlignment="1">
      <alignment vertical="center"/>
    </xf>
    <xf numFmtId="0" fontId="4" fillId="16" borderId="2" xfId="0" applyFont="1" applyFill="1" applyBorder="1" applyAlignment="1">
      <alignment vertical="center"/>
    </xf>
    <xf numFmtId="0" fontId="4" fillId="157" borderId="2" xfId="0" applyFont="1" applyFill="1" applyBorder="1" applyAlignment="1">
      <alignment vertical="center"/>
    </xf>
    <xf numFmtId="0" fontId="4" fillId="158" borderId="2" xfId="0" applyFont="1" applyFill="1" applyBorder="1" applyAlignment="1">
      <alignment vertical="center"/>
    </xf>
    <xf numFmtId="0" fontId="6" fillId="159" borderId="2" xfId="0" applyFont="1" applyFill="1" applyBorder="1" applyAlignment="1" applyProtection="1">
      <alignment vertical="center"/>
      <protection hidden="1"/>
    </xf>
    <xf numFmtId="0" fontId="6" fillId="160" borderId="2" xfId="0" applyFont="1" applyFill="1" applyBorder="1" applyAlignment="1" applyProtection="1">
      <alignment vertical="center"/>
      <protection hidden="1"/>
    </xf>
    <xf numFmtId="0" fontId="6" fillId="161" borderId="2" xfId="0" applyFont="1" applyFill="1" applyBorder="1" applyAlignment="1" applyProtection="1">
      <alignment vertical="center"/>
      <protection hidden="1"/>
    </xf>
    <xf numFmtId="0" fontId="6" fillId="162" borderId="2" xfId="0" applyFont="1" applyFill="1" applyBorder="1" applyAlignment="1" applyProtection="1">
      <alignment vertical="center"/>
      <protection hidden="1"/>
    </xf>
    <xf numFmtId="0" fontId="6" fillId="163" borderId="2" xfId="0" applyFont="1" applyFill="1" applyBorder="1" applyAlignment="1" applyProtection="1">
      <alignment vertical="center"/>
      <protection hidden="1"/>
    </xf>
    <xf numFmtId="0" fontId="6" fillId="164" borderId="2" xfId="0" applyFont="1" applyFill="1" applyBorder="1" applyAlignment="1" applyProtection="1">
      <alignment vertical="center"/>
      <protection hidden="1"/>
    </xf>
    <xf numFmtId="0" fontId="0" fillId="17" borderId="2" xfId="0" applyFill="1" applyBorder="1" applyAlignment="1" applyProtection="1">
      <protection hidden="1"/>
    </xf>
    <xf numFmtId="0" fontId="0" fillId="18" borderId="2" xfId="0" applyFill="1" applyBorder="1" applyAlignment="1" applyProtection="1">
      <protection hidden="1"/>
    </xf>
    <xf numFmtId="0" fontId="0" fillId="19" borderId="2" xfId="0" applyFill="1" applyBorder="1" applyAlignment="1" applyProtection="1">
      <protection hidden="1"/>
    </xf>
    <xf numFmtId="0" fontId="0" fillId="15" borderId="2" xfId="0" applyFill="1" applyBorder="1" applyAlignment="1" applyProtection="1">
      <protection hidden="1"/>
    </xf>
    <xf numFmtId="0" fontId="0" fillId="20" borderId="2" xfId="0" applyFill="1" applyBorder="1" applyAlignment="1" applyProtection="1">
      <protection hidden="1"/>
    </xf>
    <xf numFmtId="0" fontId="0" fillId="21" borderId="2" xfId="0" applyFill="1" applyBorder="1" applyAlignment="1" applyProtection="1">
      <protection hidden="1"/>
    </xf>
    <xf numFmtId="0" fontId="4" fillId="22" borderId="2" xfId="0" applyFont="1" applyFill="1" applyBorder="1" applyAlignment="1">
      <alignment vertical="center"/>
    </xf>
    <xf numFmtId="0" fontId="4" fillId="23" borderId="2" xfId="0" applyFont="1" applyFill="1" applyBorder="1" applyAlignment="1">
      <alignment vertical="center"/>
    </xf>
    <xf numFmtId="0" fontId="4" fillId="24" borderId="2" xfId="0" applyFont="1" applyFill="1" applyBorder="1" applyAlignment="1">
      <alignment vertical="center"/>
    </xf>
    <xf numFmtId="0" fontId="4" fillId="25" borderId="2" xfId="0" applyFont="1" applyFill="1" applyBorder="1" applyAlignment="1">
      <alignment vertical="center"/>
    </xf>
    <xf numFmtId="0" fontId="4" fillId="26" borderId="2" xfId="0" applyFont="1" applyFill="1" applyBorder="1" applyAlignment="1">
      <alignment vertical="center"/>
    </xf>
    <xf numFmtId="0" fontId="4" fillId="27" borderId="2" xfId="0" applyFont="1" applyFill="1" applyBorder="1" applyAlignment="1">
      <alignment vertical="center"/>
    </xf>
    <xf numFmtId="0" fontId="4" fillId="28" borderId="2" xfId="0" applyFont="1" applyFill="1" applyBorder="1" applyAlignment="1">
      <alignment vertical="center"/>
    </xf>
    <xf numFmtId="0" fontId="6" fillId="29" borderId="2" xfId="0" applyFont="1" applyFill="1" applyBorder="1" applyAlignment="1" applyProtection="1">
      <alignment vertical="center"/>
      <protection hidden="1"/>
    </xf>
    <xf numFmtId="0" fontId="6" fillId="30" borderId="2" xfId="0" applyFont="1" applyFill="1" applyBorder="1" applyAlignment="1" applyProtection="1">
      <alignment vertical="center"/>
      <protection hidden="1"/>
    </xf>
    <xf numFmtId="0" fontId="6" fillId="31" borderId="2" xfId="0" applyFont="1" applyFill="1" applyBorder="1" applyAlignment="1" applyProtection="1">
      <alignment vertical="center"/>
      <protection hidden="1"/>
    </xf>
    <xf numFmtId="0" fontId="6" fillId="32" borderId="2" xfId="0" applyFont="1" applyFill="1" applyBorder="1" applyAlignment="1" applyProtection="1">
      <alignment vertical="center"/>
      <protection hidden="1"/>
    </xf>
    <xf numFmtId="0" fontId="6" fillId="33" borderId="2" xfId="0" applyFont="1" applyFill="1" applyBorder="1" applyAlignment="1" applyProtection="1">
      <alignment vertical="center"/>
      <protection hidden="1"/>
    </xf>
    <xf numFmtId="0" fontId="7" fillId="34" borderId="2" xfId="0" applyFont="1" applyFill="1" applyBorder="1" applyAlignment="1" applyProtection="1">
      <alignment vertical="center"/>
      <protection hidden="1"/>
    </xf>
    <xf numFmtId="0" fontId="11" fillId="0" borderId="0" xfId="0" quotePrefix="1" applyFont="1">
      <alignment vertical="center"/>
    </xf>
    <xf numFmtId="0" fontId="4" fillId="165" borderId="2" xfId="0" applyFont="1" applyFill="1" applyBorder="1" applyAlignment="1"/>
    <xf numFmtId="0" fontId="4" fillId="166" borderId="2" xfId="0" applyFont="1" applyFill="1" applyBorder="1" applyAlignment="1"/>
    <xf numFmtId="0" fontId="4" fillId="167" borderId="2" xfId="0" applyFont="1" applyFill="1" applyBorder="1" applyAlignment="1"/>
    <xf numFmtId="0" fontId="4" fillId="168" borderId="2" xfId="0" applyFont="1" applyFill="1" applyBorder="1" applyAlignment="1"/>
    <xf numFmtId="0" fontId="4" fillId="169" borderId="2" xfId="0" applyFont="1" applyFill="1" applyBorder="1" applyAlignment="1"/>
    <xf numFmtId="0" fontId="4" fillId="170" borderId="2" xfId="0" applyFont="1" applyFill="1" applyBorder="1" applyAlignment="1"/>
    <xf numFmtId="0" fontId="4" fillId="171" borderId="2" xfId="0" applyFont="1" applyFill="1" applyBorder="1" applyAlignment="1"/>
    <xf numFmtId="0" fontId="4" fillId="172" borderId="2" xfId="0" applyFont="1" applyFill="1" applyBorder="1" applyAlignment="1"/>
    <xf numFmtId="0" fontId="4" fillId="173" borderId="2" xfId="0" applyFont="1" applyFill="1" applyBorder="1" applyAlignment="1"/>
    <xf numFmtId="0" fontId="4" fillId="174" borderId="2" xfId="0" applyFont="1" applyFill="1" applyBorder="1" applyAlignment="1"/>
    <xf numFmtId="0" fontId="4" fillId="175" borderId="2" xfId="0" applyFont="1" applyFill="1" applyBorder="1" applyAlignment="1"/>
    <xf numFmtId="0" fontId="4" fillId="176" borderId="2" xfId="0" applyFont="1" applyFill="1" applyBorder="1" applyAlignment="1"/>
    <xf numFmtId="0" fontId="4" fillId="177" borderId="2" xfId="0" applyFont="1" applyFill="1" applyBorder="1" applyAlignment="1"/>
    <xf numFmtId="0" fontId="4" fillId="178" borderId="2" xfId="0" applyFont="1" applyFill="1" applyBorder="1" applyAlignment="1"/>
    <xf numFmtId="0" fontId="4" fillId="179" borderId="2" xfId="0" applyFont="1" applyFill="1" applyBorder="1" applyAlignment="1"/>
    <xf numFmtId="0" fontId="4" fillId="180" borderId="2" xfId="0" applyFont="1" applyFill="1" applyBorder="1" applyAlignment="1"/>
    <xf numFmtId="0" fontId="4" fillId="181" borderId="2" xfId="0" applyFont="1" applyFill="1" applyBorder="1" applyAlignment="1"/>
    <xf numFmtId="0" fontId="4" fillId="182" borderId="2" xfId="0" applyFont="1" applyFill="1" applyBorder="1" applyAlignment="1"/>
    <xf numFmtId="0" fontId="4" fillId="183" borderId="2" xfId="0" applyFont="1" applyFill="1" applyBorder="1" applyAlignment="1"/>
    <xf numFmtId="0" fontId="4" fillId="184" borderId="2" xfId="0" applyFont="1" applyFill="1" applyBorder="1" applyAlignment="1"/>
    <xf numFmtId="0" fontId="4" fillId="185" borderId="2" xfId="0" applyFont="1" applyFill="1" applyBorder="1" applyAlignment="1"/>
    <xf numFmtId="0" fontId="4" fillId="27" borderId="2" xfId="0" applyFont="1" applyFill="1" applyBorder="1" applyAlignment="1"/>
    <xf numFmtId="0" fontId="4" fillId="186" borderId="2" xfId="0" applyFont="1" applyFill="1" applyBorder="1" applyAlignment="1"/>
    <xf numFmtId="0" fontId="4" fillId="187" borderId="2" xfId="0" applyFont="1" applyFill="1" applyBorder="1" applyAlignment="1"/>
    <xf numFmtId="0" fontId="4" fillId="188" borderId="2" xfId="0" applyFont="1" applyFill="1" applyBorder="1" applyAlignment="1"/>
    <xf numFmtId="0" fontId="4" fillId="132" borderId="2" xfId="0" applyFont="1" applyFill="1" applyBorder="1" applyAlignment="1"/>
    <xf numFmtId="0" fontId="4" fillId="189" borderId="2" xfId="0" applyFont="1" applyFill="1" applyBorder="1" applyAlignment="1"/>
    <xf numFmtId="0" fontId="4" fillId="28" borderId="2" xfId="0" applyFont="1" applyFill="1" applyBorder="1" applyAlignment="1"/>
    <xf numFmtId="0" fontId="4" fillId="190" borderId="2" xfId="0" applyFont="1" applyFill="1" applyBorder="1" applyAlignment="1"/>
    <xf numFmtId="0" fontId="4" fillId="191" borderId="2" xfId="0" applyFont="1" applyFill="1" applyBorder="1" applyAlignment="1"/>
    <xf numFmtId="0" fontId="4" fillId="192" borderId="2" xfId="0" applyFont="1" applyFill="1" applyBorder="1" applyAlignment="1"/>
    <xf numFmtId="0" fontId="4" fillId="193" borderId="2" xfId="0" applyFont="1" applyFill="1" applyBorder="1" applyAlignment="1"/>
    <xf numFmtId="0" fontId="4" fillId="194" borderId="2" xfId="0" applyFont="1" applyFill="1" applyBorder="1" applyAlignment="1"/>
    <xf numFmtId="0" fontId="4" fillId="195" borderId="2" xfId="0" applyFont="1" applyFill="1" applyBorder="1" applyAlignment="1"/>
    <xf numFmtId="0" fontId="4" fillId="196" borderId="2" xfId="0" applyFont="1" applyFill="1" applyBorder="1" applyAlignment="1"/>
    <xf numFmtId="0" fontId="4" fillId="197" borderId="2" xfId="0" applyFont="1" applyFill="1" applyBorder="1" applyAlignment="1"/>
    <xf numFmtId="0" fontId="4" fillId="198" borderId="2" xfId="0" applyFont="1" applyFill="1" applyBorder="1" applyAlignment="1"/>
    <xf numFmtId="0" fontId="4" fillId="199" borderId="2" xfId="0" applyFont="1" applyFill="1" applyBorder="1" applyAlignment="1"/>
    <xf numFmtId="0" fontId="4" fillId="200" borderId="2" xfId="0" applyFont="1" applyFill="1" applyBorder="1" applyAlignment="1"/>
    <xf numFmtId="0" fontId="4" fillId="201" borderId="2" xfId="0" applyFont="1" applyFill="1" applyBorder="1" applyAlignment="1"/>
    <xf numFmtId="0" fontId="4" fillId="202" borderId="2" xfId="0" applyFont="1" applyFill="1" applyBorder="1" applyAlignment="1"/>
    <xf numFmtId="0" fontId="4" fillId="203" borderId="2" xfId="0" applyFont="1" applyFill="1" applyBorder="1" applyAlignment="1"/>
    <xf numFmtId="0" fontId="4" fillId="204" borderId="2" xfId="0" applyFont="1" applyFill="1" applyBorder="1" applyAlignment="1"/>
    <xf numFmtId="0" fontId="4" fillId="205" borderId="2" xfId="0" applyFont="1" applyFill="1" applyBorder="1" applyAlignment="1"/>
    <xf numFmtId="0" fontId="4" fillId="206" borderId="2" xfId="0" applyFont="1" applyFill="1" applyBorder="1" applyAlignment="1"/>
    <xf numFmtId="0" fontId="4" fillId="207" borderId="2" xfId="0" applyFont="1" applyFill="1" applyBorder="1" applyAlignment="1"/>
    <xf numFmtId="0" fontId="4" fillId="77" borderId="2" xfId="0" applyFont="1" applyFill="1" applyBorder="1" applyAlignment="1"/>
    <xf numFmtId="0" fontId="4" fillId="78" borderId="2" xfId="0" applyFont="1" applyFill="1" applyBorder="1" applyAlignment="1"/>
    <xf numFmtId="0" fontId="4" fillId="79" borderId="2" xfId="0" applyFont="1" applyFill="1" applyBorder="1" applyAlignment="1"/>
    <xf numFmtId="0" fontId="4" fillId="80" borderId="2" xfId="0" applyFont="1" applyFill="1" applyBorder="1" applyAlignment="1"/>
    <xf numFmtId="0" fontId="4" fillId="81" borderId="2" xfId="0" applyFont="1" applyFill="1" applyBorder="1" applyAlignment="1"/>
    <xf numFmtId="0" fontId="4" fillId="9" borderId="2" xfId="0" applyFont="1" applyFill="1" applyBorder="1" applyAlignment="1"/>
    <xf numFmtId="0" fontId="4" fillId="46" borderId="2" xfId="0" applyFont="1" applyFill="1" applyBorder="1" applyAlignment="1"/>
    <xf numFmtId="0" fontId="4" fillId="208" borderId="2" xfId="0" applyFont="1" applyFill="1" applyBorder="1" applyAlignment="1"/>
    <xf numFmtId="0" fontId="4" fillId="209" borderId="2" xfId="0" applyFont="1" applyFill="1" applyBorder="1" applyAlignment="1"/>
    <xf numFmtId="0" fontId="4" fillId="210" borderId="2" xfId="0" applyFont="1" applyFill="1" applyBorder="1" applyAlignment="1"/>
    <xf numFmtId="0" fontId="4" fillId="211" borderId="2" xfId="0" applyFont="1" applyFill="1" applyBorder="1" applyAlignment="1"/>
    <xf numFmtId="0" fontId="4" fillId="47" borderId="2" xfId="0" applyFont="1" applyFill="1" applyBorder="1" applyAlignment="1"/>
    <xf numFmtId="0" fontId="4" fillId="212" borderId="2" xfId="0" applyFont="1" applyFill="1" applyBorder="1" applyAlignment="1"/>
    <xf numFmtId="0" fontId="4" fillId="213" borderId="2" xfId="0" applyFont="1" applyFill="1" applyBorder="1" applyAlignment="1"/>
    <xf numFmtId="0" fontId="4" fillId="214" borderId="2" xfId="0" applyFont="1" applyFill="1" applyBorder="1" applyAlignment="1"/>
    <xf numFmtId="0" fontId="4" fillId="215" borderId="2" xfId="0" applyFont="1" applyFill="1" applyBorder="1" applyAlignment="1"/>
    <xf numFmtId="0" fontId="4" fillId="216" borderId="2" xfId="0" applyFont="1" applyFill="1" applyBorder="1" applyAlignment="1"/>
    <xf numFmtId="0" fontId="4" fillId="217" borderId="2" xfId="0" applyFont="1" applyFill="1" applyBorder="1" applyAlignment="1"/>
    <xf numFmtId="0" fontId="4" fillId="218" borderId="2" xfId="0" applyFont="1" applyFill="1" applyBorder="1" applyAlignment="1"/>
    <xf numFmtId="0" fontId="4" fillId="219" borderId="2" xfId="0" applyFont="1" applyFill="1" applyBorder="1" applyAlignment="1"/>
    <xf numFmtId="0" fontId="4" fillId="220" borderId="2" xfId="0" applyFont="1" applyFill="1" applyBorder="1" applyAlignment="1"/>
    <xf numFmtId="0" fontId="4" fillId="221" borderId="2" xfId="0" applyFont="1" applyFill="1" applyBorder="1" applyAlignment="1"/>
    <xf numFmtId="0" fontId="4" fillId="222" borderId="2" xfId="0" applyFont="1" applyFill="1" applyBorder="1" applyAlignment="1"/>
    <xf numFmtId="0" fontId="4" fillId="223" borderId="2" xfId="0" applyFont="1" applyFill="1" applyBorder="1" applyAlignment="1"/>
    <xf numFmtId="0" fontId="4" fillId="224" borderId="2" xfId="0" applyFont="1" applyFill="1" applyBorder="1" applyAlignment="1"/>
    <xf numFmtId="0" fontId="4" fillId="225" borderId="2" xfId="0" applyFont="1" applyFill="1" applyBorder="1" applyAlignment="1"/>
    <xf numFmtId="0" fontId="4" fillId="226" borderId="2" xfId="0" applyFont="1" applyFill="1" applyBorder="1" applyAlignment="1"/>
    <xf numFmtId="0" fontId="4" fillId="227" borderId="2" xfId="0" applyFont="1" applyFill="1" applyBorder="1" applyAlignment="1"/>
    <xf numFmtId="0" fontId="4" fillId="228" borderId="2" xfId="0" applyFont="1" applyFill="1" applyBorder="1" applyAlignment="1"/>
    <xf numFmtId="0" fontId="4" fillId="229" borderId="2" xfId="0" applyFont="1" applyFill="1" applyBorder="1" applyAlignment="1"/>
    <xf numFmtId="0" fontId="4" fillId="230" borderId="2" xfId="0" applyFont="1" applyFill="1" applyBorder="1" applyAlignment="1"/>
    <xf numFmtId="0" fontId="4" fillId="231" borderId="2" xfId="0" applyFont="1" applyFill="1" applyBorder="1" applyAlignment="1"/>
    <xf numFmtId="0" fontId="4" fillId="232" borderId="2" xfId="0" applyFont="1" applyFill="1" applyBorder="1" applyAlignment="1"/>
    <xf numFmtId="0" fontId="4" fillId="64" borderId="2" xfId="0" applyFont="1" applyFill="1" applyBorder="1" applyAlignment="1"/>
    <xf numFmtId="0" fontId="4" fillId="233" borderId="2" xfId="0" applyFont="1" applyFill="1" applyBorder="1" applyAlignment="1"/>
    <xf numFmtId="0" fontId="4" fillId="234" borderId="2" xfId="0" applyFont="1" applyFill="1" applyBorder="1" applyAlignment="1"/>
    <xf numFmtId="0" fontId="4" fillId="235" borderId="2" xfId="0" applyFont="1" applyFill="1" applyBorder="1" applyAlignment="1"/>
    <xf numFmtId="0" fontId="4" fillId="236" borderId="2" xfId="0" applyFont="1" applyFill="1" applyBorder="1" applyAlignment="1"/>
    <xf numFmtId="0" fontId="4" fillId="237" borderId="2" xfId="0" applyFont="1" applyFill="1" applyBorder="1" applyAlignment="1"/>
    <xf numFmtId="0" fontId="4" fillId="65" borderId="2" xfId="0" applyFont="1" applyFill="1" applyBorder="1" applyAlignment="1"/>
    <xf numFmtId="0" fontId="4" fillId="238" borderId="2" xfId="0" applyFont="1" applyFill="1" applyBorder="1" applyAlignment="1"/>
    <xf numFmtId="0" fontId="4" fillId="239" borderId="2" xfId="0" applyFont="1" applyFill="1" applyBorder="1" applyAlignment="1"/>
    <xf numFmtId="0" fontId="4" fillId="240" borderId="2" xfId="0" applyFont="1" applyFill="1" applyBorder="1" applyAlignment="1"/>
    <xf numFmtId="0" fontId="4" fillId="241" borderId="2" xfId="0" applyFont="1" applyFill="1" applyBorder="1" applyAlignment="1"/>
    <xf numFmtId="0" fontId="4" fillId="242" borderId="2" xfId="0" applyFont="1" applyFill="1" applyBorder="1" applyAlignment="1"/>
    <xf numFmtId="0" fontId="4" fillId="243" borderId="2" xfId="0" applyFont="1" applyFill="1" applyBorder="1" applyAlignment="1"/>
    <xf numFmtId="0" fontId="4" fillId="244" borderId="2" xfId="0" applyFont="1" applyFill="1" applyBorder="1" applyAlignment="1"/>
    <xf numFmtId="0" fontId="4" fillId="245" borderId="2" xfId="0" applyFont="1" applyFill="1" applyBorder="1" applyAlignment="1"/>
    <xf numFmtId="0" fontId="4" fillId="246" borderId="2" xfId="0" applyFont="1" applyFill="1" applyBorder="1" applyAlignment="1"/>
    <xf numFmtId="0" fontId="4" fillId="247" borderId="2" xfId="0" applyFont="1" applyFill="1" applyBorder="1" applyAlignment="1"/>
    <xf numFmtId="0" fontId="4" fillId="248" borderId="2" xfId="0" applyFont="1" applyFill="1" applyBorder="1" applyAlignment="1"/>
    <xf numFmtId="0" fontId="4" fillId="249" borderId="2" xfId="0" applyFont="1" applyFill="1" applyBorder="1" applyAlignment="1"/>
    <xf numFmtId="0" fontId="4" fillId="250" borderId="2" xfId="0" applyFont="1" applyFill="1" applyBorder="1" applyAlignment="1"/>
    <xf numFmtId="0" fontId="4" fillId="251" borderId="2" xfId="0" applyFont="1" applyFill="1" applyBorder="1" applyAlignment="1"/>
    <xf numFmtId="0" fontId="4" fillId="252" borderId="2" xfId="0" applyFont="1" applyFill="1" applyBorder="1" applyAlignment="1"/>
    <xf numFmtId="0" fontId="4" fillId="253" borderId="2" xfId="0" applyFont="1" applyFill="1" applyBorder="1" applyAlignment="1"/>
    <xf numFmtId="0" fontId="4" fillId="254" borderId="2" xfId="0" applyFont="1" applyFill="1" applyBorder="1" applyAlignment="1"/>
    <xf numFmtId="0" fontId="4" fillId="255" borderId="2" xfId="0" applyFont="1" applyFill="1" applyBorder="1" applyAlignment="1"/>
    <xf numFmtId="0" fontId="4" fillId="120" borderId="2" xfId="0" applyFont="1" applyFill="1" applyBorder="1" applyAlignment="1"/>
    <xf numFmtId="0" fontId="4" fillId="75" borderId="2" xfId="0" applyFont="1" applyFill="1" applyBorder="1" applyAlignment="1"/>
    <xf numFmtId="0" fontId="4" fillId="74" borderId="2" xfId="0" applyFont="1" applyFill="1" applyBorder="1" applyAlignment="1"/>
    <xf numFmtId="0" fontId="4" fillId="73" borderId="2" xfId="0" applyFont="1" applyFill="1" applyBorder="1" applyAlignment="1"/>
    <xf numFmtId="0" fontId="4" fillId="76" borderId="2" xfId="0" applyFont="1" applyFill="1" applyBorder="1" applyAlignment="1"/>
    <xf numFmtId="0" fontId="4" fillId="121" borderId="2" xfId="0" applyFont="1" applyFill="1" applyBorder="1" applyAlignment="1"/>
    <xf numFmtId="0" fontId="4" fillId="12" borderId="2" xfId="0" applyFont="1" applyFill="1" applyBorder="1" applyAlignment="1"/>
    <xf numFmtId="0" fontId="4" fillId="122" borderId="2" xfId="0" applyFont="1" applyFill="1" applyBorder="1" applyAlignment="1"/>
    <xf numFmtId="0" fontId="4" fillId="72" borderId="2" xfId="0" applyFont="1" applyFill="1" applyBorder="1" applyAlignment="1"/>
    <xf numFmtId="0" fontId="4" fillId="82" borderId="2" xfId="0" applyFont="1" applyFill="1" applyBorder="1" applyAlignment="1"/>
    <xf numFmtId="0" fontId="4" fillId="256" borderId="2" xfId="0" applyFont="1" applyFill="1" applyBorder="1" applyAlignment="1"/>
    <xf numFmtId="0" fontId="4" fillId="257" borderId="2" xfId="0" applyFont="1" applyFill="1" applyBorder="1" applyAlignment="1"/>
    <xf numFmtId="0" fontId="4" fillId="258" borderId="2" xfId="0" applyFont="1" applyFill="1" applyBorder="1" applyAlignment="1"/>
    <xf numFmtId="0" fontId="4" fillId="259" borderId="2" xfId="0" applyFont="1" applyFill="1" applyBorder="1" applyAlignment="1"/>
    <xf numFmtId="0" fontId="4" fillId="260" borderId="2" xfId="0" applyFont="1" applyFill="1" applyBorder="1" applyAlignment="1"/>
    <xf numFmtId="0" fontId="4" fillId="83" borderId="2" xfId="0" applyFont="1" applyFill="1" applyBorder="1" applyAlignment="1"/>
    <xf numFmtId="0" fontId="4" fillId="261" borderId="2" xfId="0" applyFont="1" applyFill="1" applyBorder="1" applyAlignment="1"/>
    <xf numFmtId="0" fontId="4" fillId="16" borderId="2" xfId="0" applyFont="1" applyFill="1" applyBorder="1" applyAlignment="1"/>
    <xf numFmtId="0" fontId="4" fillId="262" borderId="2" xfId="0" applyFont="1" applyFill="1" applyBorder="1" applyAlignment="1"/>
    <xf numFmtId="0" fontId="4" fillId="263" borderId="2" xfId="0" applyFont="1" applyFill="1" applyBorder="1" applyAlignment="1"/>
    <xf numFmtId="0" fontId="4" fillId="264" borderId="2" xfId="0" applyFont="1" applyFill="1" applyBorder="1" applyAlignment="1"/>
    <xf numFmtId="0" fontId="4" fillId="265" borderId="2" xfId="0" applyFont="1" applyFill="1" applyBorder="1" applyAlignment="1"/>
    <xf numFmtId="0" fontId="4" fillId="266" borderId="2" xfId="0" applyFont="1" applyFill="1" applyBorder="1" applyAlignment="1"/>
    <xf numFmtId="0" fontId="4" fillId="267" borderId="2" xfId="0" applyFont="1" applyFill="1" applyBorder="1" applyAlignment="1"/>
    <xf numFmtId="0" fontId="4" fillId="268" borderId="2" xfId="0" applyFont="1" applyFill="1" applyBorder="1" applyAlignment="1"/>
    <xf numFmtId="0" fontId="4" fillId="269" borderId="2" xfId="0" applyFont="1" applyFill="1" applyBorder="1" applyAlignment="1"/>
    <xf numFmtId="0" fontId="4" fillId="270" borderId="2" xfId="0" applyFont="1" applyFill="1" applyBorder="1" applyAlignment="1"/>
    <xf numFmtId="0" fontId="4" fillId="271" borderId="2" xfId="0" applyFont="1" applyFill="1" applyBorder="1" applyAlignment="1"/>
    <xf numFmtId="0" fontId="4" fillId="272" borderId="2" xfId="0" applyFont="1" applyFill="1" applyBorder="1" applyAlignment="1"/>
    <xf numFmtId="0" fontId="4" fillId="273" borderId="2" xfId="0" applyFont="1" applyFill="1" applyBorder="1" applyAlignment="1"/>
    <xf numFmtId="0" fontId="4" fillId="274" borderId="2" xfId="0" applyFont="1" applyFill="1" applyBorder="1" applyAlignment="1"/>
    <xf numFmtId="0" fontId="4" fillId="275" borderId="2" xfId="0" applyFont="1" applyFill="1" applyBorder="1" applyAlignment="1"/>
    <xf numFmtId="0" fontId="4" fillId="276" borderId="2" xfId="0" applyFont="1" applyFill="1" applyBorder="1" applyAlignment="1"/>
    <xf numFmtId="0" fontId="4" fillId="277" borderId="2" xfId="0" applyFont="1" applyFill="1" applyBorder="1" applyAlignment="1"/>
    <xf numFmtId="0" fontId="4" fillId="278" borderId="2" xfId="0" applyFont="1" applyFill="1" applyBorder="1" applyAlignment="1"/>
    <xf numFmtId="0" fontId="4" fillId="279" borderId="2" xfId="0" applyFont="1" applyFill="1" applyBorder="1" applyAlignment="1"/>
    <xf numFmtId="0" fontId="4" fillId="280" borderId="2" xfId="0" applyFont="1" applyFill="1" applyBorder="1" applyAlignment="1"/>
    <xf numFmtId="0" fontId="4" fillId="281" borderId="2" xfId="0" applyFont="1" applyFill="1" applyBorder="1" applyAlignment="1"/>
    <xf numFmtId="0" fontId="4" fillId="282" borderId="2" xfId="0" applyFont="1" applyFill="1" applyBorder="1" applyAlignment="1"/>
    <xf numFmtId="0" fontId="4" fillId="283" borderId="2" xfId="0" applyFont="1" applyFill="1" applyBorder="1" applyAlignment="1"/>
    <xf numFmtId="0" fontId="4" fillId="284" borderId="2" xfId="0" applyFont="1" applyFill="1" applyBorder="1" applyAlignment="1"/>
    <xf numFmtId="0" fontId="4" fillId="285" borderId="2" xfId="0" applyFont="1" applyFill="1" applyBorder="1" applyAlignment="1"/>
    <xf numFmtId="0" fontId="4" fillId="286" borderId="2" xfId="0" applyFont="1" applyFill="1" applyBorder="1" applyAlignment="1"/>
    <xf numFmtId="0" fontId="4" fillId="101" borderId="2" xfId="0" applyFont="1" applyFill="1" applyBorder="1" applyAlignment="1"/>
    <xf numFmtId="0" fontId="4" fillId="287" borderId="2" xfId="0" applyFont="1" applyFill="1" applyBorder="1" applyAlignment="1"/>
    <xf numFmtId="0" fontId="4" fillId="134" borderId="2" xfId="0" applyFont="1" applyFill="1" applyBorder="1" applyAlignment="1"/>
    <xf numFmtId="0" fontId="4" fillId="288" borderId="2" xfId="0" applyFont="1" applyFill="1" applyBorder="1" applyAlignment="1"/>
    <xf numFmtId="0" fontId="4" fillId="289" borderId="2" xfId="0" applyFont="1" applyFill="1" applyBorder="1" applyAlignment="1"/>
    <xf numFmtId="0" fontId="4" fillId="290" borderId="2" xfId="0" applyFont="1" applyFill="1" applyBorder="1" applyAlignment="1"/>
    <xf numFmtId="0" fontId="4" fillId="102" borderId="2" xfId="0" applyFont="1" applyFill="1" applyBorder="1" applyAlignment="1"/>
    <xf numFmtId="0" fontId="4" fillId="291" borderId="2" xfId="0" applyFont="1" applyFill="1" applyBorder="1" applyAlignment="1"/>
    <xf numFmtId="0" fontId="0" fillId="0" borderId="2" xfId="0" applyBorder="1">
      <alignment vertical="center"/>
    </xf>
    <xf numFmtId="0" fontId="12" fillId="0" borderId="0" xfId="0" applyFont="1" applyFill="1" applyProtection="1">
      <alignment vertical="center"/>
      <protection locked="0"/>
    </xf>
    <xf numFmtId="0" fontId="12" fillId="0" borderId="0" xfId="0" applyFon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Fill="1">
      <alignment vertical="center"/>
    </xf>
    <xf numFmtId="0" fontId="2" fillId="5" borderId="0" xfId="0" applyFont="1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2" fillId="293" borderId="0" xfId="0" applyFont="1" applyFill="1">
      <alignment vertical="center"/>
    </xf>
    <xf numFmtId="0" fontId="14" fillId="0" borderId="0" xfId="0" applyFont="1">
      <alignment vertical="center"/>
    </xf>
    <xf numFmtId="0" fontId="2" fillId="292" borderId="0" xfId="0" applyFont="1" applyFill="1">
      <alignment vertical="center"/>
    </xf>
    <xf numFmtId="0" fontId="0" fillId="0" borderId="4" xfId="0" applyFill="1" applyBorder="1" applyProtection="1">
      <alignment vertical="center"/>
      <protection locked="0"/>
    </xf>
    <xf numFmtId="0" fontId="0" fillId="0" borderId="5" xfId="0" applyFill="1" applyBorder="1" applyProtection="1">
      <alignment vertical="center"/>
      <protection locked="0"/>
    </xf>
    <xf numFmtId="0" fontId="0" fillId="0" borderId="6" xfId="0" applyFill="1" applyBorder="1" applyProtection="1">
      <alignment vertical="center"/>
      <protection locked="0"/>
    </xf>
    <xf numFmtId="0" fontId="12" fillId="0" borderId="0" xfId="0" applyFont="1">
      <alignment vertical="center"/>
    </xf>
    <xf numFmtId="0" fontId="11" fillId="0" borderId="0" xfId="0" applyFont="1">
      <alignment vertical="center"/>
    </xf>
    <xf numFmtId="0" fontId="0" fillId="34" borderId="0" xfId="0" applyFill="1">
      <alignment vertical="center"/>
    </xf>
    <xf numFmtId="0" fontId="3" fillId="34" borderId="0" xfId="0" applyFont="1" applyFill="1">
      <alignment vertical="center"/>
    </xf>
    <xf numFmtId="0" fontId="16" fillId="34" borderId="0" xfId="0" applyFont="1" applyFill="1">
      <alignment vertical="center"/>
    </xf>
    <xf numFmtId="0" fontId="2" fillId="34" borderId="0" xfId="0" applyFont="1" applyFill="1">
      <alignment vertical="center"/>
    </xf>
    <xf numFmtId="0" fontId="0" fillId="34" borderId="0" xfId="0" applyFont="1" applyFill="1">
      <alignment vertical="center"/>
    </xf>
    <xf numFmtId="0" fontId="9" fillId="34" borderId="0" xfId="0" applyFont="1" applyFill="1" applyAlignment="1">
      <alignment horizontal="center" vertical="center"/>
    </xf>
    <xf numFmtId="0" fontId="13" fillId="0" borderId="0" xfId="0" applyFont="1" applyFill="1">
      <alignment vertical="center"/>
    </xf>
    <xf numFmtId="1" fontId="0" fillId="0" borderId="0" xfId="0" applyNumberFormat="1">
      <alignment vertical="center"/>
    </xf>
    <xf numFmtId="0" fontId="0" fillId="231" borderId="2" xfId="0" applyFill="1" applyBorder="1" applyAlignment="1" applyProtection="1">
      <protection locked="0"/>
    </xf>
    <xf numFmtId="0" fontId="23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right" vertical="center"/>
    </xf>
    <xf numFmtId="0" fontId="33" fillId="0" borderId="0" xfId="0" applyFont="1">
      <alignment vertical="center"/>
    </xf>
    <xf numFmtId="0" fontId="0" fillId="294" borderId="0" xfId="0" applyFill="1">
      <alignment vertical="center"/>
    </xf>
    <xf numFmtId="0" fontId="34" fillId="0" borderId="0" xfId="0" applyFont="1">
      <alignment vertical="center"/>
    </xf>
    <xf numFmtId="0" fontId="0" fillId="171" borderId="2" xfId="0" applyFill="1" applyBorder="1" applyAlignment="1" applyProtection="1">
      <protection locked="0"/>
    </xf>
    <xf numFmtId="0" fontId="0" fillId="199" borderId="2" xfId="0" applyFill="1" applyBorder="1" applyAlignment="1" applyProtection="1">
      <protection locked="0"/>
    </xf>
    <xf numFmtId="0" fontId="0" fillId="222" borderId="2" xfId="0" applyFill="1" applyBorder="1" applyAlignment="1" applyProtection="1">
      <protection locked="0"/>
    </xf>
    <xf numFmtId="0" fontId="0" fillId="248" borderId="2" xfId="0" applyFill="1" applyBorder="1" applyAlignment="1" applyProtection="1">
      <protection locked="0"/>
    </xf>
    <xf numFmtId="0" fontId="0" fillId="270" borderId="2" xfId="0" applyFill="1" applyBorder="1" applyAlignment="1" applyProtection="1">
      <protection locked="0"/>
    </xf>
    <xf numFmtId="0" fontId="32" fillId="294" borderId="3" xfId="0" applyFont="1" applyFill="1" applyBorder="1">
      <alignment vertical="center"/>
    </xf>
    <xf numFmtId="0" fontId="0" fillId="294" borderId="3" xfId="0" applyFill="1" applyBorder="1">
      <alignment vertical="center"/>
    </xf>
    <xf numFmtId="0" fontId="32" fillId="294" borderId="0" xfId="0" applyFont="1" applyFill="1">
      <alignment vertical="center"/>
    </xf>
    <xf numFmtId="0" fontId="24" fillId="295" borderId="3" xfId="0" applyFont="1" applyFill="1" applyBorder="1" applyAlignment="1">
      <alignment horizontal="center" vertical="center"/>
    </xf>
    <xf numFmtId="0" fontId="25" fillId="295" borderId="3" xfId="0" applyFont="1" applyFill="1" applyBorder="1" applyAlignment="1">
      <alignment horizontal="center" vertical="center"/>
    </xf>
    <xf numFmtId="0" fontId="25" fillId="295" borderId="0" xfId="0" applyFont="1" applyFill="1" applyAlignment="1">
      <alignment horizontal="center" vertical="center"/>
    </xf>
    <xf numFmtId="0" fontId="21" fillId="295" borderId="0" xfId="0" applyFont="1" applyFill="1">
      <alignment vertical="center"/>
    </xf>
    <xf numFmtId="0" fontId="22" fillId="295" borderId="0" xfId="0" applyFont="1" applyFill="1">
      <alignment vertical="center"/>
    </xf>
    <xf numFmtId="0" fontId="0" fillId="295" borderId="0" xfId="0" applyFill="1">
      <alignment vertical="center"/>
    </xf>
    <xf numFmtId="0" fontId="2" fillId="294" borderId="3" xfId="0" applyFont="1" applyFill="1" applyBorder="1" applyAlignment="1">
      <alignment horizontal="center" vertical="center"/>
    </xf>
  </cellXfs>
  <cellStyles count="4">
    <cellStyle name="常规" xfId="0" builtinId="0"/>
    <cellStyle name="常规 3" xfId="2" xr:uid="{E3BCB6ED-E99C-4D10-8CE0-73B9EB9AF5A5}"/>
    <cellStyle name="超链接 2" xfId="1" xr:uid="{586FE411-60D1-4593-BF1C-35C1B78B27E8}"/>
    <cellStyle name="超链接 2 2" xfId="3" xr:uid="{4D21CA70-26C6-4C10-9510-599EF6BF7E8F}"/>
  </cellStyles>
  <dxfs count="0"/>
  <tableStyles count="0" defaultTableStyle="TableStyleMedium2" defaultPivotStyle="PivotStyleLight16"/>
  <colors>
    <mruColors>
      <color rgb="FFA50F15"/>
      <color rgb="FFEEEC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Q$7" lockText="1" noThreeD="1"/>
</file>

<file path=xl/ctrlProps/ctrlProp3.xml><?xml version="1.0" encoding="utf-8"?>
<formControlPr xmlns="http://schemas.microsoft.com/office/spreadsheetml/2009/9/main" objectType="CheckBox" checked="Checked" fmlaLink="$O$7" lockText="1" noThreeD="1"/>
</file>

<file path=xl/ctrlProps/ctrlProp4.xml><?xml version="1.0" encoding="utf-8"?>
<formControlPr xmlns="http://schemas.microsoft.com/office/spreadsheetml/2009/9/main" objectType="Scroll" dx="22" fmlaLink="$J$7" horiz="1" max="35" min="1" page="0" val="10"/>
</file>

<file path=xl/ctrlProps/ctrlProp5.xml><?xml version="1.0" encoding="utf-8"?>
<formControlPr xmlns="http://schemas.microsoft.com/office/spreadsheetml/2009/9/main" objectType="Drop" dropLines="20" dropStyle="combo" dx="22" fmlaLink="$J$7" fmlaRange="$CF$25:$CF$59" noThreeD="1" sel="10" val="9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填色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显示数值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显示省名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32657</xdr:colOff>
          <xdr:row>5</xdr:row>
          <xdr:rowOff>48986</xdr:rowOff>
        </xdr:from>
        <xdr:to>
          <xdr:col>10</xdr:col>
          <xdr:colOff>10886</xdr:colOff>
          <xdr:row>7</xdr:row>
          <xdr:rowOff>0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370114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78" name="下拉框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243328</xdr:colOff>
          <xdr:row>17</xdr:row>
          <xdr:rowOff>126146</xdr:rowOff>
        </xdr:from>
        <xdr:to>
          <xdr:col>16</xdr:col>
          <xdr:colOff>525075</xdr:colOff>
          <xdr:row>39</xdr:row>
          <xdr:rowOff>83142</xdr:rowOff>
        </xdr:to>
        <xdr:pic>
          <xdr:nvPicPr>
            <xdr:cNvPr id="9" name="图片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ap!$C$7:$L$30" spid="_x0000_s13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38068" y="2905205"/>
              <a:ext cx="5910301" cy="347884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22954</xdr:colOff>
          <xdr:row>24</xdr:row>
          <xdr:rowOff>10888</xdr:rowOff>
        </xdr:from>
        <xdr:to>
          <xdr:col>3</xdr:col>
          <xdr:colOff>132300</xdr:colOff>
          <xdr:row>27</xdr:row>
          <xdr:rowOff>119742</xdr:rowOff>
        </xdr:to>
        <xdr:pic>
          <xdr:nvPicPr>
            <xdr:cNvPr id="45" name="图片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!$I$11:$J$15" spid="_x0000_s23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29240" y="3815445"/>
              <a:ext cx="762489" cy="582383"/>
            </a:xfrm>
            <a:prstGeom prst="rect">
              <a:avLst/>
            </a:prstGeom>
            <a:noFill/>
            <a:ln>
              <a:solidFill>
                <a:schemeClr val="accent1">
                  <a:lumMod val="50000"/>
                </a:schemeClr>
              </a:solidFill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155121</xdr:colOff>
      <xdr:row>11</xdr:row>
      <xdr:rowOff>139349</xdr:rowOff>
    </xdr:from>
    <xdr:to>
      <xdr:col>3</xdr:col>
      <xdr:colOff>451400</xdr:colOff>
      <xdr:row>21</xdr:row>
      <xdr:rowOff>68175</xdr:rowOff>
    </xdr:to>
    <xdr:sp macro="" textlink="data!E15">
      <xdr:nvSpPr>
        <xdr:cNvPr id="171" name="CA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>
          <a:spLocks/>
        </xdr:cNvSpPr>
      </xdr:nvSpPr>
      <xdr:spPr bwMode="auto">
        <a:xfrm>
          <a:off x="1461407" y="1875620"/>
          <a:ext cx="949422" cy="1507255"/>
        </a:xfrm>
        <a:custGeom>
          <a:avLst/>
          <a:gdLst>
            <a:gd name="T0" fmla="*/ 23 w 419"/>
            <a:gd name="T1" fmla="*/ 87 h 933"/>
            <a:gd name="T2" fmla="*/ 16 w 419"/>
            <a:gd name="T3" fmla="*/ 104 h 933"/>
            <a:gd name="T4" fmla="*/ 1 w 419"/>
            <a:gd name="T5" fmla="*/ 128 h 933"/>
            <a:gd name="T6" fmla="*/ 9 w 419"/>
            <a:gd name="T7" fmla="*/ 166 h 933"/>
            <a:gd name="T8" fmla="*/ 16 w 419"/>
            <a:gd name="T9" fmla="*/ 199 h 933"/>
            <a:gd name="T10" fmla="*/ 9 w 419"/>
            <a:gd name="T11" fmla="*/ 227 h 933"/>
            <a:gd name="T12" fmla="*/ 9 w 419"/>
            <a:gd name="T13" fmla="*/ 273 h 933"/>
            <a:gd name="T14" fmla="*/ 24 w 419"/>
            <a:gd name="T15" fmla="*/ 313 h 933"/>
            <a:gd name="T16" fmla="*/ 28 w 419"/>
            <a:gd name="T17" fmla="*/ 327 h 933"/>
            <a:gd name="T18" fmla="*/ 30 w 419"/>
            <a:gd name="T19" fmla="*/ 339 h 933"/>
            <a:gd name="T20" fmla="*/ 29 w 419"/>
            <a:gd name="T21" fmla="*/ 352 h 933"/>
            <a:gd name="T22" fmla="*/ 42 w 419"/>
            <a:gd name="T23" fmla="*/ 373 h 933"/>
            <a:gd name="T24" fmla="*/ 51 w 419"/>
            <a:gd name="T25" fmla="*/ 367 h 933"/>
            <a:gd name="T26" fmla="*/ 61 w 419"/>
            <a:gd name="T27" fmla="*/ 357 h 933"/>
            <a:gd name="T28" fmla="*/ 76 w 419"/>
            <a:gd name="T29" fmla="*/ 364 h 933"/>
            <a:gd name="T30" fmla="*/ 90 w 419"/>
            <a:gd name="T31" fmla="*/ 369 h 933"/>
            <a:gd name="T32" fmla="*/ 95 w 419"/>
            <a:gd name="T33" fmla="*/ 371 h 933"/>
            <a:gd name="T34" fmla="*/ 95 w 419"/>
            <a:gd name="T35" fmla="*/ 371 h 933"/>
            <a:gd name="T36" fmla="*/ 64 w 419"/>
            <a:gd name="T37" fmla="*/ 364 h 933"/>
            <a:gd name="T38" fmla="*/ 57 w 419"/>
            <a:gd name="T39" fmla="*/ 377 h 933"/>
            <a:gd name="T40" fmla="*/ 61 w 419"/>
            <a:gd name="T41" fmla="*/ 401 h 933"/>
            <a:gd name="T42" fmla="*/ 56 w 419"/>
            <a:gd name="T43" fmla="*/ 411 h 933"/>
            <a:gd name="T44" fmla="*/ 52 w 419"/>
            <a:gd name="T45" fmla="*/ 389 h 933"/>
            <a:gd name="T46" fmla="*/ 44 w 419"/>
            <a:gd name="T47" fmla="*/ 387 h 933"/>
            <a:gd name="T48" fmla="*/ 43 w 419"/>
            <a:gd name="T49" fmla="*/ 420 h 933"/>
            <a:gd name="T50" fmla="*/ 42 w 419"/>
            <a:gd name="T51" fmla="*/ 439 h 933"/>
            <a:gd name="T52" fmla="*/ 64 w 419"/>
            <a:gd name="T53" fmla="*/ 473 h 933"/>
            <a:gd name="T54" fmla="*/ 52 w 419"/>
            <a:gd name="T55" fmla="*/ 493 h 933"/>
            <a:gd name="T56" fmla="*/ 60 w 419"/>
            <a:gd name="T57" fmla="*/ 533 h 933"/>
            <a:gd name="T58" fmla="*/ 71 w 419"/>
            <a:gd name="T59" fmla="*/ 572 h 933"/>
            <a:gd name="T60" fmla="*/ 80 w 419"/>
            <a:gd name="T61" fmla="*/ 600 h 933"/>
            <a:gd name="T62" fmla="*/ 84 w 419"/>
            <a:gd name="T63" fmla="*/ 625 h 933"/>
            <a:gd name="T64" fmla="*/ 95 w 419"/>
            <a:gd name="T65" fmla="*/ 644 h 933"/>
            <a:gd name="T66" fmla="*/ 90 w 419"/>
            <a:gd name="T67" fmla="*/ 675 h 933"/>
            <a:gd name="T68" fmla="*/ 92 w 419"/>
            <a:gd name="T69" fmla="*/ 693 h 933"/>
            <a:gd name="T70" fmla="*/ 116 w 419"/>
            <a:gd name="T71" fmla="*/ 704 h 933"/>
            <a:gd name="T72" fmla="*/ 143 w 419"/>
            <a:gd name="T73" fmla="*/ 723 h 933"/>
            <a:gd name="T74" fmla="*/ 161 w 419"/>
            <a:gd name="T75" fmla="*/ 753 h 933"/>
            <a:gd name="T76" fmla="*/ 190 w 419"/>
            <a:gd name="T77" fmla="*/ 776 h 933"/>
            <a:gd name="T78" fmla="*/ 194 w 419"/>
            <a:gd name="T79" fmla="*/ 796 h 933"/>
            <a:gd name="T80" fmla="*/ 208 w 419"/>
            <a:gd name="T81" fmla="*/ 805 h 933"/>
            <a:gd name="T82" fmla="*/ 233 w 419"/>
            <a:gd name="T83" fmla="*/ 849 h 933"/>
            <a:gd name="T84" fmla="*/ 234 w 419"/>
            <a:gd name="T85" fmla="*/ 894 h 933"/>
            <a:gd name="T86" fmla="*/ 238 w 419"/>
            <a:gd name="T87" fmla="*/ 905 h 933"/>
            <a:gd name="T88" fmla="*/ 241 w 419"/>
            <a:gd name="T89" fmla="*/ 914 h 933"/>
            <a:gd name="T90" fmla="*/ 374 w 419"/>
            <a:gd name="T91" fmla="*/ 932 h 933"/>
            <a:gd name="T92" fmla="*/ 384 w 419"/>
            <a:gd name="T93" fmla="*/ 916 h 933"/>
            <a:gd name="T94" fmla="*/ 374 w 419"/>
            <a:gd name="T95" fmla="*/ 900 h 933"/>
            <a:gd name="T96" fmla="*/ 377 w 419"/>
            <a:gd name="T97" fmla="*/ 877 h 933"/>
            <a:gd name="T98" fmla="*/ 393 w 419"/>
            <a:gd name="T99" fmla="*/ 848 h 933"/>
            <a:gd name="T100" fmla="*/ 401 w 419"/>
            <a:gd name="T101" fmla="*/ 818 h 933"/>
            <a:gd name="T102" fmla="*/ 408 w 419"/>
            <a:gd name="T103" fmla="*/ 788 h 933"/>
            <a:gd name="T104" fmla="*/ 405 w 419"/>
            <a:gd name="T105" fmla="*/ 763 h 933"/>
            <a:gd name="T106" fmla="*/ 337 w 419"/>
            <a:gd name="T107" fmla="*/ 615 h 933"/>
            <a:gd name="T108" fmla="*/ 145 w 419"/>
            <a:gd name="T109" fmla="*/ 39 h 933"/>
            <a:gd name="T110" fmla="*/ 33 w 419"/>
            <a:gd name="T111" fmla="*/ 18 h 933"/>
            <a:gd name="T112" fmla="*/ 35 w 419"/>
            <a:gd name="T113" fmla="*/ 42 h 9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419" h="933">
              <a:moveTo>
                <a:pt x="34" y="52"/>
              </a:moveTo>
              <a:lnTo>
                <a:pt x="24" y="76"/>
              </a:lnTo>
              <a:lnTo>
                <a:pt x="25" y="82"/>
              </a:lnTo>
              <a:lnTo>
                <a:pt x="23" y="87"/>
              </a:lnTo>
              <a:lnTo>
                <a:pt x="20" y="92"/>
              </a:lnTo>
              <a:lnTo>
                <a:pt x="18" y="99"/>
              </a:lnTo>
              <a:lnTo>
                <a:pt x="20" y="100"/>
              </a:lnTo>
              <a:lnTo>
                <a:pt x="16" y="104"/>
              </a:lnTo>
              <a:lnTo>
                <a:pt x="11" y="106"/>
              </a:lnTo>
              <a:lnTo>
                <a:pt x="9" y="111"/>
              </a:lnTo>
              <a:lnTo>
                <a:pt x="5" y="118"/>
              </a:lnTo>
              <a:lnTo>
                <a:pt x="1" y="128"/>
              </a:lnTo>
              <a:lnTo>
                <a:pt x="1" y="138"/>
              </a:lnTo>
              <a:lnTo>
                <a:pt x="0" y="143"/>
              </a:lnTo>
              <a:lnTo>
                <a:pt x="9" y="160"/>
              </a:lnTo>
              <a:lnTo>
                <a:pt x="9" y="166"/>
              </a:lnTo>
              <a:lnTo>
                <a:pt x="12" y="171"/>
              </a:lnTo>
              <a:lnTo>
                <a:pt x="16" y="187"/>
              </a:lnTo>
              <a:lnTo>
                <a:pt x="15" y="192"/>
              </a:lnTo>
              <a:lnTo>
                <a:pt x="16" y="199"/>
              </a:lnTo>
              <a:lnTo>
                <a:pt x="15" y="204"/>
              </a:lnTo>
              <a:lnTo>
                <a:pt x="15" y="211"/>
              </a:lnTo>
              <a:lnTo>
                <a:pt x="13" y="216"/>
              </a:lnTo>
              <a:lnTo>
                <a:pt x="9" y="227"/>
              </a:lnTo>
              <a:lnTo>
                <a:pt x="10" y="250"/>
              </a:lnTo>
              <a:lnTo>
                <a:pt x="9" y="258"/>
              </a:lnTo>
              <a:lnTo>
                <a:pt x="5" y="263"/>
              </a:lnTo>
              <a:lnTo>
                <a:pt x="9" y="273"/>
              </a:lnTo>
              <a:lnTo>
                <a:pt x="14" y="285"/>
              </a:lnTo>
              <a:lnTo>
                <a:pt x="18" y="301"/>
              </a:lnTo>
              <a:lnTo>
                <a:pt x="21" y="308"/>
              </a:lnTo>
              <a:lnTo>
                <a:pt x="24" y="313"/>
              </a:lnTo>
              <a:lnTo>
                <a:pt x="26" y="319"/>
              </a:lnTo>
              <a:lnTo>
                <a:pt x="27" y="324"/>
              </a:lnTo>
              <a:lnTo>
                <a:pt x="27" y="329"/>
              </a:lnTo>
              <a:lnTo>
                <a:pt x="28" y="327"/>
              </a:lnTo>
              <a:lnTo>
                <a:pt x="28" y="328"/>
              </a:lnTo>
              <a:lnTo>
                <a:pt x="32" y="339"/>
              </a:lnTo>
              <a:lnTo>
                <a:pt x="33" y="349"/>
              </a:lnTo>
              <a:lnTo>
                <a:pt x="30" y="339"/>
              </a:lnTo>
              <a:lnTo>
                <a:pt x="29" y="344"/>
              </a:lnTo>
              <a:lnTo>
                <a:pt x="26" y="351"/>
              </a:lnTo>
              <a:lnTo>
                <a:pt x="25" y="356"/>
              </a:lnTo>
              <a:lnTo>
                <a:pt x="29" y="352"/>
              </a:lnTo>
              <a:lnTo>
                <a:pt x="34" y="359"/>
              </a:lnTo>
              <a:lnTo>
                <a:pt x="35" y="364"/>
              </a:lnTo>
              <a:lnTo>
                <a:pt x="39" y="368"/>
              </a:lnTo>
              <a:lnTo>
                <a:pt x="42" y="373"/>
              </a:lnTo>
              <a:lnTo>
                <a:pt x="47" y="379"/>
              </a:lnTo>
              <a:lnTo>
                <a:pt x="50" y="376"/>
              </a:lnTo>
              <a:lnTo>
                <a:pt x="48" y="371"/>
              </a:lnTo>
              <a:lnTo>
                <a:pt x="51" y="367"/>
              </a:lnTo>
              <a:lnTo>
                <a:pt x="51" y="360"/>
              </a:lnTo>
              <a:lnTo>
                <a:pt x="53" y="355"/>
              </a:lnTo>
              <a:lnTo>
                <a:pt x="57" y="352"/>
              </a:lnTo>
              <a:lnTo>
                <a:pt x="61" y="357"/>
              </a:lnTo>
              <a:lnTo>
                <a:pt x="64" y="363"/>
              </a:lnTo>
              <a:lnTo>
                <a:pt x="68" y="367"/>
              </a:lnTo>
              <a:lnTo>
                <a:pt x="72" y="364"/>
              </a:lnTo>
              <a:lnTo>
                <a:pt x="76" y="364"/>
              </a:lnTo>
              <a:lnTo>
                <a:pt x="79" y="369"/>
              </a:lnTo>
              <a:lnTo>
                <a:pt x="87" y="371"/>
              </a:lnTo>
              <a:lnTo>
                <a:pt x="91" y="365"/>
              </a:lnTo>
              <a:lnTo>
                <a:pt x="90" y="369"/>
              </a:lnTo>
              <a:lnTo>
                <a:pt x="86" y="373"/>
              </a:lnTo>
              <a:lnTo>
                <a:pt x="90" y="373"/>
              </a:lnTo>
              <a:lnTo>
                <a:pt x="94" y="371"/>
              </a:lnTo>
              <a:lnTo>
                <a:pt x="95" y="371"/>
              </a:lnTo>
              <a:lnTo>
                <a:pt x="98" y="376"/>
              </a:lnTo>
              <a:lnTo>
                <a:pt x="101" y="381"/>
              </a:lnTo>
              <a:lnTo>
                <a:pt x="101" y="383"/>
              </a:lnTo>
              <a:lnTo>
                <a:pt x="95" y="371"/>
              </a:lnTo>
              <a:lnTo>
                <a:pt x="86" y="376"/>
              </a:lnTo>
              <a:lnTo>
                <a:pt x="74" y="368"/>
              </a:lnTo>
              <a:lnTo>
                <a:pt x="68" y="368"/>
              </a:lnTo>
              <a:lnTo>
                <a:pt x="64" y="364"/>
              </a:lnTo>
              <a:lnTo>
                <a:pt x="60" y="365"/>
              </a:lnTo>
              <a:lnTo>
                <a:pt x="56" y="365"/>
              </a:lnTo>
              <a:lnTo>
                <a:pt x="54" y="372"/>
              </a:lnTo>
              <a:lnTo>
                <a:pt x="57" y="377"/>
              </a:lnTo>
              <a:lnTo>
                <a:pt x="55" y="383"/>
              </a:lnTo>
              <a:lnTo>
                <a:pt x="57" y="388"/>
              </a:lnTo>
              <a:lnTo>
                <a:pt x="59" y="391"/>
              </a:lnTo>
              <a:lnTo>
                <a:pt x="61" y="401"/>
              </a:lnTo>
              <a:lnTo>
                <a:pt x="61" y="412"/>
              </a:lnTo>
              <a:lnTo>
                <a:pt x="64" y="417"/>
              </a:lnTo>
              <a:lnTo>
                <a:pt x="60" y="416"/>
              </a:lnTo>
              <a:lnTo>
                <a:pt x="56" y="411"/>
              </a:lnTo>
              <a:lnTo>
                <a:pt x="53" y="404"/>
              </a:lnTo>
              <a:lnTo>
                <a:pt x="49" y="400"/>
              </a:lnTo>
              <a:lnTo>
                <a:pt x="50" y="395"/>
              </a:lnTo>
              <a:lnTo>
                <a:pt x="52" y="389"/>
              </a:lnTo>
              <a:lnTo>
                <a:pt x="52" y="384"/>
              </a:lnTo>
              <a:lnTo>
                <a:pt x="51" y="381"/>
              </a:lnTo>
              <a:lnTo>
                <a:pt x="47" y="381"/>
              </a:lnTo>
              <a:lnTo>
                <a:pt x="44" y="387"/>
              </a:lnTo>
              <a:lnTo>
                <a:pt x="43" y="392"/>
              </a:lnTo>
              <a:lnTo>
                <a:pt x="40" y="403"/>
              </a:lnTo>
              <a:lnTo>
                <a:pt x="42" y="408"/>
              </a:lnTo>
              <a:lnTo>
                <a:pt x="43" y="420"/>
              </a:lnTo>
              <a:lnTo>
                <a:pt x="42" y="425"/>
              </a:lnTo>
              <a:lnTo>
                <a:pt x="40" y="428"/>
              </a:lnTo>
              <a:lnTo>
                <a:pt x="40" y="433"/>
              </a:lnTo>
              <a:lnTo>
                <a:pt x="42" y="439"/>
              </a:lnTo>
              <a:lnTo>
                <a:pt x="49" y="456"/>
              </a:lnTo>
              <a:lnTo>
                <a:pt x="54" y="460"/>
              </a:lnTo>
              <a:lnTo>
                <a:pt x="62" y="461"/>
              </a:lnTo>
              <a:lnTo>
                <a:pt x="64" y="473"/>
              </a:lnTo>
              <a:lnTo>
                <a:pt x="64" y="484"/>
              </a:lnTo>
              <a:lnTo>
                <a:pt x="62" y="484"/>
              </a:lnTo>
              <a:lnTo>
                <a:pt x="61" y="489"/>
              </a:lnTo>
              <a:lnTo>
                <a:pt x="52" y="493"/>
              </a:lnTo>
              <a:lnTo>
                <a:pt x="52" y="505"/>
              </a:lnTo>
              <a:lnTo>
                <a:pt x="51" y="517"/>
              </a:lnTo>
              <a:lnTo>
                <a:pt x="53" y="523"/>
              </a:lnTo>
              <a:lnTo>
                <a:pt x="60" y="533"/>
              </a:lnTo>
              <a:lnTo>
                <a:pt x="62" y="545"/>
              </a:lnTo>
              <a:lnTo>
                <a:pt x="65" y="549"/>
              </a:lnTo>
              <a:lnTo>
                <a:pt x="66" y="561"/>
              </a:lnTo>
              <a:lnTo>
                <a:pt x="71" y="572"/>
              </a:lnTo>
              <a:lnTo>
                <a:pt x="71" y="577"/>
              </a:lnTo>
              <a:lnTo>
                <a:pt x="73" y="583"/>
              </a:lnTo>
              <a:lnTo>
                <a:pt x="78" y="588"/>
              </a:lnTo>
              <a:lnTo>
                <a:pt x="80" y="600"/>
              </a:lnTo>
              <a:lnTo>
                <a:pt x="88" y="611"/>
              </a:lnTo>
              <a:lnTo>
                <a:pt x="88" y="616"/>
              </a:lnTo>
              <a:lnTo>
                <a:pt x="85" y="620"/>
              </a:lnTo>
              <a:lnTo>
                <a:pt x="84" y="625"/>
              </a:lnTo>
              <a:lnTo>
                <a:pt x="88" y="631"/>
              </a:lnTo>
              <a:lnTo>
                <a:pt x="92" y="633"/>
              </a:lnTo>
              <a:lnTo>
                <a:pt x="95" y="639"/>
              </a:lnTo>
              <a:lnTo>
                <a:pt x="95" y="644"/>
              </a:lnTo>
              <a:lnTo>
                <a:pt x="91" y="652"/>
              </a:lnTo>
              <a:lnTo>
                <a:pt x="91" y="664"/>
              </a:lnTo>
              <a:lnTo>
                <a:pt x="89" y="669"/>
              </a:lnTo>
              <a:lnTo>
                <a:pt x="90" y="675"/>
              </a:lnTo>
              <a:lnTo>
                <a:pt x="87" y="680"/>
              </a:lnTo>
              <a:lnTo>
                <a:pt x="86" y="687"/>
              </a:lnTo>
              <a:lnTo>
                <a:pt x="89" y="688"/>
              </a:lnTo>
              <a:lnTo>
                <a:pt x="92" y="693"/>
              </a:lnTo>
              <a:lnTo>
                <a:pt x="96" y="699"/>
              </a:lnTo>
              <a:lnTo>
                <a:pt x="108" y="701"/>
              </a:lnTo>
              <a:lnTo>
                <a:pt x="112" y="704"/>
              </a:lnTo>
              <a:lnTo>
                <a:pt x="116" y="704"/>
              </a:lnTo>
              <a:lnTo>
                <a:pt x="124" y="712"/>
              </a:lnTo>
              <a:lnTo>
                <a:pt x="128" y="715"/>
              </a:lnTo>
              <a:lnTo>
                <a:pt x="137" y="715"/>
              </a:lnTo>
              <a:lnTo>
                <a:pt x="143" y="723"/>
              </a:lnTo>
              <a:lnTo>
                <a:pt x="147" y="727"/>
              </a:lnTo>
              <a:lnTo>
                <a:pt x="151" y="732"/>
              </a:lnTo>
              <a:lnTo>
                <a:pt x="152" y="743"/>
              </a:lnTo>
              <a:lnTo>
                <a:pt x="161" y="753"/>
              </a:lnTo>
              <a:lnTo>
                <a:pt x="169" y="760"/>
              </a:lnTo>
              <a:lnTo>
                <a:pt x="186" y="764"/>
              </a:lnTo>
              <a:lnTo>
                <a:pt x="187" y="765"/>
              </a:lnTo>
              <a:lnTo>
                <a:pt x="190" y="776"/>
              </a:lnTo>
              <a:lnTo>
                <a:pt x="190" y="781"/>
              </a:lnTo>
              <a:lnTo>
                <a:pt x="189" y="787"/>
              </a:lnTo>
              <a:lnTo>
                <a:pt x="189" y="792"/>
              </a:lnTo>
              <a:lnTo>
                <a:pt x="194" y="796"/>
              </a:lnTo>
              <a:lnTo>
                <a:pt x="196" y="792"/>
              </a:lnTo>
              <a:lnTo>
                <a:pt x="200" y="793"/>
              </a:lnTo>
              <a:lnTo>
                <a:pt x="204" y="796"/>
              </a:lnTo>
              <a:lnTo>
                <a:pt x="208" y="805"/>
              </a:lnTo>
              <a:lnTo>
                <a:pt x="211" y="811"/>
              </a:lnTo>
              <a:lnTo>
                <a:pt x="216" y="815"/>
              </a:lnTo>
              <a:lnTo>
                <a:pt x="229" y="838"/>
              </a:lnTo>
              <a:lnTo>
                <a:pt x="233" y="849"/>
              </a:lnTo>
              <a:lnTo>
                <a:pt x="236" y="862"/>
              </a:lnTo>
              <a:lnTo>
                <a:pt x="237" y="873"/>
              </a:lnTo>
              <a:lnTo>
                <a:pt x="236" y="884"/>
              </a:lnTo>
              <a:lnTo>
                <a:pt x="234" y="894"/>
              </a:lnTo>
              <a:lnTo>
                <a:pt x="234" y="901"/>
              </a:lnTo>
              <a:lnTo>
                <a:pt x="235" y="897"/>
              </a:lnTo>
              <a:lnTo>
                <a:pt x="240" y="900"/>
              </a:lnTo>
              <a:lnTo>
                <a:pt x="238" y="905"/>
              </a:lnTo>
              <a:lnTo>
                <a:pt x="236" y="900"/>
              </a:lnTo>
              <a:lnTo>
                <a:pt x="238" y="905"/>
              </a:lnTo>
              <a:lnTo>
                <a:pt x="239" y="913"/>
              </a:lnTo>
              <a:lnTo>
                <a:pt x="241" y="914"/>
              </a:lnTo>
              <a:lnTo>
                <a:pt x="369" y="932"/>
              </a:lnTo>
              <a:lnTo>
                <a:pt x="371" y="932"/>
              </a:lnTo>
              <a:lnTo>
                <a:pt x="373" y="930"/>
              </a:lnTo>
              <a:lnTo>
                <a:pt x="374" y="932"/>
              </a:lnTo>
              <a:lnTo>
                <a:pt x="378" y="933"/>
              </a:lnTo>
              <a:lnTo>
                <a:pt x="379" y="928"/>
              </a:lnTo>
              <a:lnTo>
                <a:pt x="384" y="924"/>
              </a:lnTo>
              <a:lnTo>
                <a:pt x="384" y="916"/>
              </a:lnTo>
              <a:lnTo>
                <a:pt x="383" y="910"/>
              </a:lnTo>
              <a:lnTo>
                <a:pt x="379" y="906"/>
              </a:lnTo>
              <a:lnTo>
                <a:pt x="375" y="905"/>
              </a:lnTo>
              <a:lnTo>
                <a:pt x="374" y="900"/>
              </a:lnTo>
              <a:lnTo>
                <a:pt x="376" y="893"/>
              </a:lnTo>
              <a:lnTo>
                <a:pt x="377" y="888"/>
              </a:lnTo>
              <a:lnTo>
                <a:pt x="375" y="882"/>
              </a:lnTo>
              <a:lnTo>
                <a:pt x="377" y="877"/>
              </a:lnTo>
              <a:lnTo>
                <a:pt x="381" y="873"/>
              </a:lnTo>
              <a:lnTo>
                <a:pt x="389" y="861"/>
              </a:lnTo>
              <a:lnTo>
                <a:pt x="390" y="853"/>
              </a:lnTo>
              <a:lnTo>
                <a:pt x="393" y="848"/>
              </a:lnTo>
              <a:lnTo>
                <a:pt x="393" y="837"/>
              </a:lnTo>
              <a:lnTo>
                <a:pt x="395" y="828"/>
              </a:lnTo>
              <a:lnTo>
                <a:pt x="399" y="824"/>
              </a:lnTo>
              <a:lnTo>
                <a:pt x="401" y="818"/>
              </a:lnTo>
              <a:lnTo>
                <a:pt x="415" y="809"/>
              </a:lnTo>
              <a:lnTo>
                <a:pt x="419" y="804"/>
              </a:lnTo>
              <a:lnTo>
                <a:pt x="416" y="799"/>
              </a:lnTo>
              <a:lnTo>
                <a:pt x="408" y="788"/>
              </a:lnTo>
              <a:lnTo>
                <a:pt x="408" y="781"/>
              </a:lnTo>
              <a:lnTo>
                <a:pt x="407" y="775"/>
              </a:lnTo>
              <a:lnTo>
                <a:pt x="406" y="769"/>
              </a:lnTo>
              <a:lnTo>
                <a:pt x="405" y="763"/>
              </a:lnTo>
              <a:lnTo>
                <a:pt x="400" y="751"/>
              </a:lnTo>
              <a:lnTo>
                <a:pt x="400" y="745"/>
              </a:lnTo>
              <a:lnTo>
                <a:pt x="401" y="740"/>
              </a:lnTo>
              <a:lnTo>
                <a:pt x="337" y="615"/>
              </a:lnTo>
              <a:lnTo>
                <a:pt x="186" y="321"/>
              </a:lnTo>
              <a:lnTo>
                <a:pt x="197" y="264"/>
              </a:lnTo>
              <a:lnTo>
                <a:pt x="232" y="70"/>
              </a:lnTo>
              <a:lnTo>
                <a:pt x="145" y="39"/>
              </a:lnTo>
              <a:lnTo>
                <a:pt x="40" y="2"/>
              </a:lnTo>
              <a:lnTo>
                <a:pt x="38" y="0"/>
              </a:lnTo>
              <a:lnTo>
                <a:pt x="35" y="12"/>
              </a:lnTo>
              <a:lnTo>
                <a:pt x="33" y="18"/>
              </a:lnTo>
              <a:lnTo>
                <a:pt x="36" y="24"/>
              </a:lnTo>
              <a:lnTo>
                <a:pt x="35" y="30"/>
              </a:lnTo>
              <a:lnTo>
                <a:pt x="36" y="40"/>
              </a:lnTo>
              <a:lnTo>
                <a:pt x="35" y="42"/>
              </a:lnTo>
              <a:lnTo>
                <a:pt x="34" y="52"/>
              </a:lnTo>
              <a:lnTo>
                <a:pt x="34" y="52"/>
              </a:lnTo>
              <a:lnTo>
                <a:pt x="34" y="52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lIns="0" anchor="ctr"/>
        <a:lstStyle/>
        <a:p>
          <a:pPr algn="ctr"/>
          <a:fld id="{1DC4B243-C17A-464F-9C6D-791C6B1D1682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CA
3591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209902</xdr:colOff>
      <xdr:row>8</xdr:row>
      <xdr:rowOff>54545</xdr:rowOff>
    </xdr:from>
    <xdr:to>
      <xdr:col>3</xdr:col>
      <xdr:colOff>493422</xdr:colOff>
      <xdr:row>12</xdr:row>
      <xdr:rowOff>159618</xdr:rowOff>
    </xdr:to>
    <xdr:sp macro="" textlink="data!E48">
      <xdr:nvSpPr>
        <xdr:cNvPr id="172" name="OR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>
          <a:spLocks/>
        </xdr:cNvSpPr>
      </xdr:nvSpPr>
      <xdr:spPr bwMode="auto">
        <a:xfrm>
          <a:off x="2038702" y="1349945"/>
          <a:ext cx="893120" cy="752773"/>
        </a:xfrm>
        <a:custGeom>
          <a:avLst/>
          <a:gdLst>
            <a:gd name="T0" fmla="*/ 112 w 412"/>
            <a:gd name="T1" fmla="*/ 384 h 456"/>
            <a:gd name="T2" fmla="*/ 338 w 412"/>
            <a:gd name="T3" fmla="*/ 456 h 456"/>
            <a:gd name="T4" fmla="*/ 366 w 412"/>
            <a:gd name="T5" fmla="*/ 297 h 456"/>
            <a:gd name="T6" fmla="*/ 373 w 412"/>
            <a:gd name="T7" fmla="*/ 273 h 456"/>
            <a:gd name="T8" fmla="*/ 363 w 412"/>
            <a:gd name="T9" fmla="*/ 263 h 456"/>
            <a:gd name="T10" fmla="*/ 368 w 412"/>
            <a:gd name="T11" fmla="*/ 236 h 456"/>
            <a:gd name="T12" fmla="*/ 384 w 412"/>
            <a:gd name="T13" fmla="*/ 215 h 456"/>
            <a:gd name="T14" fmla="*/ 394 w 412"/>
            <a:gd name="T15" fmla="*/ 193 h 456"/>
            <a:gd name="T16" fmla="*/ 412 w 412"/>
            <a:gd name="T17" fmla="*/ 157 h 456"/>
            <a:gd name="T18" fmla="*/ 401 w 412"/>
            <a:gd name="T19" fmla="*/ 132 h 456"/>
            <a:gd name="T20" fmla="*/ 346 w 412"/>
            <a:gd name="T21" fmla="*/ 105 h 456"/>
            <a:gd name="T22" fmla="*/ 296 w 412"/>
            <a:gd name="T23" fmla="*/ 95 h 456"/>
            <a:gd name="T24" fmla="*/ 279 w 412"/>
            <a:gd name="T25" fmla="*/ 91 h 456"/>
            <a:gd name="T26" fmla="*/ 254 w 412"/>
            <a:gd name="T27" fmla="*/ 95 h 456"/>
            <a:gd name="T28" fmla="*/ 237 w 412"/>
            <a:gd name="T29" fmla="*/ 96 h 456"/>
            <a:gd name="T30" fmla="*/ 216 w 412"/>
            <a:gd name="T31" fmla="*/ 93 h 456"/>
            <a:gd name="T32" fmla="*/ 203 w 412"/>
            <a:gd name="T33" fmla="*/ 87 h 456"/>
            <a:gd name="T34" fmla="*/ 190 w 412"/>
            <a:gd name="T35" fmla="*/ 79 h 456"/>
            <a:gd name="T36" fmla="*/ 175 w 412"/>
            <a:gd name="T37" fmla="*/ 76 h 456"/>
            <a:gd name="T38" fmla="*/ 158 w 412"/>
            <a:gd name="T39" fmla="*/ 81 h 456"/>
            <a:gd name="T40" fmla="*/ 148 w 412"/>
            <a:gd name="T41" fmla="*/ 76 h 456"/>
            <a:gd name="T42" fmla="*/ 136 w 412"/>
            <a:gd name="T43" fmla="*/ 65 h 456"/>
            <a:gd name="T44" fmla="*/ 132 w 412"/>
            <a:gd name="T45" fmla="*/ 22 h 456"/>
            <a:gd name="T46" fmla="*/ 122 w 412"/>
            <a:gd name="T47" fmla="*/ 16 h 456"/>
            <a:gd name="T48" fmla="*/ 115 w 412"/>
            <a:gd name="T49" fmla="*/ 8 h 456"/>
            <a:gd name="T50" fmla="*/ 103 w 412"/>
            <a:gd name="T51" fmla="*/ 6 h 456"/>
            <a:gd name="T52" fmla="*/ 98 w 412"/>
            <a:gd name="T53" fmla="*/ 4 h 456"/>
            <a:gd name="T54" fmla="*/ 98 w 412"/>
            <a:gd name="T55" fmla="*/ 6 h 456"/>
            <a:gd name="T56" fmla="*/ 91 w 412"/>
            <a:gd name="T57" fmla="*/ 18 h 456"/>
            <a:gd name="T58" fmla="*/ 87 w 412"/>
            <a:gd name="T59" fmla="*/ 30 h 456"/>
            <a:gd name="T60" fmla="*/ 87 w 412"/>
            <a:gd name="T61" fmla="*/ 44 h 456"/>
            <a:gd name="T62" fmla="*/ 84 w 412"/>
            <a:gd name="T63" fmla="*/ 60 h 456"/>
            <a:gd name="T64" fmla="*/ 77 w 412"/>
            <a:gd name="T65" fmla="*/ 68 h 456"/>
            <a:gd name="T66" fmla="*/ 74 w 412"/>
            <a:gd name="T67" fmla="*/ 85 h 456"/>
            <a:gd name="T68" fmla="*/ 62 w 412"/>
            <a:gd name="T69" fmla="*/ 116 h 456"/>
            <a:gd name="T70" fmla="*/ 58 w 412"/>
            <a:gd name="T71" fmla="*/ 144 h 456"/>
            <a:gd name="T72" fmla="*/ 52 w 412"/>
            <a:gd name="T73" fmla="*/ 153 h 456"/>
            <a:gd name="T74" fmla="*/ 39 w 412"/>
            <a:gd name="T75" fmla="*/ 199 h 456"/>
            <a:gd name="T76" fmla="*/ 43 w 412"/>
            <a:gd name="T77" fmla="*/ 205 h 456"/>
            <a:gd name="T78" fmla="*/ 30 w 412"/>
            <a:gd name="T79" fmla="*/ 220 h 456"/>
            <a:gd name="T80" fmla="*/ 30 w 412"/>
            <a:gd name="T81" fmla="*/ 225 h 456"/>
            <a:gd name="T82" fmla="*/ 31 w 412"/>
            <a:gd name="T83" fmla="*/ 231 h 456"/>
            <a:gd name="T84" fmla="*/ 26 w 412"/>
            <a:gd name="T85" fmla="*/ 229 h 456"/>
            <a:gd name="T86" fmla="*/ 15 w 412"/>
            <a:gd name="T87" fmla="*/ 252 h 456"/>
            <a:gd name="T88" fmla="*/ 8 w 412"/>
            <a:gd name="T89" fmla="*/ 289 h 456"/>
            <a:gd name="T90" fmla="*/ 3 w 412"/>
            <a:gd name="T91" fmla="*/ 305 h 456"/>
            <a:gd name="T92" fmla="*/ 5 w 412"/>
            <a:gd name="T93" fmla="*/ 345 h 4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</a:cxnLst>
          <a:rect l="0" t="0" r="r" b="b"/>
          <a:pathLst>
            <a:path w="412" h="456">
              <a:moveTo>
                <a:pt x="5" y="345"/>
              </a:moveTo>
              <a:lnTo>
                <a:pt x="7" y="347"/>
              </a:lnTo>
              <a:lnTo>
                <a:pt x="112" y="384"/>
              </a:lnTo>
              <a:lnTo>
                <a:pt x="199" y="415"/>
              </a:lnTo>
              <a:lnTo>
                <a:pt x="281" y="440"/>
              </a:lnTo>
              <a:lnTo>
                <a:pt x="338" y="456"/>
              </a:lnTo>
              <a:lnTo>
                <a:pt x="362" y="303"/>
              </a:lnTo>
              <a:lnTo>
                <a:pt x="364" y="299"/>
              </a:lnTo>
              <a:lnTo>
                <a:pt x="366" y="297"/>
              </a:lnTo>
              <a:lnTo>
                <a:pt x="370" y="287"/>
              </a:lnTo>
              <a:lnTo>
                <a:pt x="370" y="279"/>
              </a:lnTo>
              <a:lnTo>
                <a:pt x="373" y="273"/>
              </a:lnTo>
              <a:lnTo>
                <a:pt x="371" y="268"/>
              </a:lnTo>
              <a:lnTo>
                <a:pt x="367" y="264"/>
              </a:lnTo>
              <a:lnTo>
                <a:pt x="363" y="263"/>
              </a:lnTo>
              <a:lnTo>
                <a:pt x="361" y="259"/>
              </a:lnTo>
              <a:lnTo>
                <a:pt x="364" y="241"/>
              </a:lnTo>
              <a:lnTo>
                <a:pt x="368" y="236"/>
              </a:lnTo>
              <a:lnTo>
                <a:pt x="373" y="225"/>
              </a:lnTo>
              <a:lnTo>
                <a:pt x="380" y="220"/>
              </a:lnTo>
              <a:lnTo>
                <a:pt x="384" y="215"/>
              </a:lnTo>
              <a:lnTo>
                <a:pt x="386" y="209"/>
              </a:lnTo>
              <a:lnTo>
                <a:pt x="386" y="204"/>
              </a:lnTo>
              <a:lnTo>
                <a:pt x="394" y="193"/>
              </a:lnTo>
              <a:lnTo>
                <a:pt x="400" y="176"/>
              </a:lnTo>
              <a:lnTo>
                <a:pt x="409" y="163"/>
              </a:lnTo>
              <a:lnTo>
                <a:pt x="412" y="157"/>
              </a:lnTo>
              <a:lnTo>
                <a:pt x="410" y="145"/>
              </a:lnTo>
              <a:lnTo>
                <a:pt x="402" y="136"/>
              </a:lnTo>
              <a:lnTo>
                <a:pt x="401" y="132"/>
              </a:lnTo>
              <a:lnTo>
                <a:pt x="399" y="127"/>
              </a:lnTo>
              <a:lnTo>
                <a:pt x="398" y="119"/>
              </a:lnTo>
              <a:lnTo>
                <a:pt x="346" y="105"/>
              </a:lnTo>
              <a:lnTo>
                <a:pt x="305" y="92"/>
              </a:lnTo>
              <a:lnTo>
                <a:pt x="301" y="95"/>
              </a:lnTo>
              <a:lnTo>
                <a:pt x="296" y="95"/>
              </a:lnTo>
              <a:lnTo>
                <a:pt x="292" y="92"/>
              </a:lnTo>
              <a:lnTo>
                <a:pt x="282" y="92"/>
              </a:lnTo>
              <a:lnTo>
                <a:pt x="279" y="91"/>
              </a:lnTo>
              <a:lnTo>
                <a:pt x="275" y="93"/>
              </a:lnTo>
              <a:lnTo>
                <a:pt x="262" y="93"/>
              </a:lnTo>
              <a:lnTo>
                <a:pt x="254" y="95"/>
              </a:lnTo>
              <a:lnTo>
                <a:pt x="246" y="97"/>
              </a:lnTo>
              <a:lnTo>
                <a:pt x="241" y="97"/>
              </a:lnTo>
              <a:lnTo>
                <a:pt x="237" y="96"/>
              </a:lnTo>
              <a:lnTo>
                <a:pt x="233" y="92"/>
              </a:lnTo>
              <a:lnTo>
                <a:pt x="229" y="89"/>
              </a:lnTo>
              <a:lnTo>
                <a:pt x="216" y="93"/>
              </a:lnTo>
              <a:lnTo>
                <a:pt x="212" y="92"/>
              </a:lnTo>
              <a:lnTo>
                <a:pt x="204" y="92"/>
              </a:lnTo>
              <a:lnTo>
                <a:pt x="203" y="87"/>
              </a:lnTo>
              <a:lnTo>
                <a:pt x="199" y="83"/>
              </a:lnTo>
              <a:lnTo>
                <a:pt x="195" y="81"/>
              </a:lnTo>
              <a:lnTo>
                <a:pt x="190" y="79"/>
              </a:lnTo>
              <a:lnTo>
                <a:pt x="183" y="77"/>
              </a:lnTo>
              <a:lnTo>
                <a:pt x="179" y="76"/>
              </a:lnTo>
              <a:lnTo>
                <a:pt x="175" y="76"/>
              </a:lnTo>
              <a:lnTo>
                <a:pt x="171" y="79"/>
              </a:lnTo>
              <a:lnTo>
                <a:pt x="167" y="80"/>
              </a:lnTo>
              <a:lnTo>
                <a:pt x="158" y="81"/>
              </a:lnTo>
              <a:lnTo>
                <a:pt x="154" y="80"/>
              </a:lnTo>
              <a:lnTo>
                <a:pt x="150" y="76"/>
              </a:lnTo>
              <a:lnTo>
                <a:pt x="148" y="76"/>
              </a:lnTo>
              <a:lnTo>
                <a:pt x="144" y="72"/>
              </a:lnTo>
              <a:lnTo>
                <a:pt x="137" y="68"/>
              </a:lnTo>
              <a:lnTo>
                <a:pt x="136" y="65"/>
              </a:lnTo>
              <a:lnTo>
                <a:pt x="138" y="38"/>
              </a:lnTo>
              <a:lnTo>
                <a:pt x="136" y="27"/>
              </a:lnTo>
              <a:lnTo>
                <a:pt x="132" y="22"/>
              </a:lnTo>
              <a:lnTo>
                <a:pt x="129" y="16"/>
              </a:lnTo>
              <a:lnTo>
                <a:pt x="126" y="14"/>
              </a:lnTo>
              <a:lnTo>
                <a:pt x="122" y="16"/>
              </a:lnTo>
              <a:lnTo>
                <a:pt x="118" y="14"/>
              </a:lnTo>
              <a:lnTo>
                <a:pt x="117" y="14"/>
              </a:lnTo>
              <a:lnTo>
                <a:pt x="115" y="8"/>
              </a:lnTo>
              <a:lnTo>
                <a:pt x="111" y="4"/>
              </a:lnTo>
              <a:lnTo>
                <a:pt x="106" y="6"/>
              </a:lnTo>
              <a:lnTo>
                <a:pt x="103" y="6"/>
              </a:lnTo>
              <a:lnTo>
                <a:pt x="101" y="3"/>
              </a:lnTo>
              <a:lnTo>
                <a:pt x="98" y="3"/>
              </a:lnTo>
              <a:lnTo>
                <a:pt x="98" y="4"/>
              </a:lnTo>
              <a:lnTo>
                <a:pt x="99" y="7"/>
              </a:lnTo>
              <a:lnTo>
                <a:pt x="98" y="7"/>
              </a:lnTo>
              <a:lnTo>
                <a:pt x="98" y="6"/>
              </a:lnTo>
              <a:lnTo>
                <a:pt x="94" y="0"/>
              </a:lnTo>
              <a:lnTo>
                <a:pt x="92" y="6"/>
              </a:lnTo>
              <a:lnTo>
                <a:pt x="91" y="18"/>
              </a:lnTo>
              <a:lnTo>
                <a:pt x="87" y="23"/>
              </a:lnTo>
              <a:lnTo>
                <a:pt x="87" y="24"/>
              </a:lnTo>
              <a:lnTo>
                <a:pt x="87" y="30"/>
              </a:lnTo>
              <a:lnTo>
                <a:pt x="85" y="35"/>
              </a:lnTo>
              <a:lnTo>
                <a:pt x="85" y="40"/>
              </a:lnTo>
              <a:lnTo>
                <a:pt x="87" y="44"/>
              </a:lnTo>
              <a:lnTo>
                <a:pt x="83" y="50"/>
              </a:lnTo>
              <a:lnTo>
                <a:pt x="81" y="55"/>
              </a:lnTo>
              <a:lnTo>
                <a:pt x="84" y="60"/>
              </a:lnTo>
              <a:lnTo>
                <a:pt x="80" y="59"/>
              </a:lnTo>
              <a:lnTo>
                <a:pt x="79" y="63"/>
              </a:lnTo>
              <a:lnTo>
                <a:pt x="77" y="68"/>
              </a:lnTo>
              <a:lnTo>
                <a:pt x="77" y="73"/>
              </a:lnTo>
              <a:lnTo>
                <a:pt x="75" y="80"/>
              </a:lnTo>
              <a:lnTo>
                <a:pt x="74" y="85"/>
              </a:lnTo>
              <a:lnTo>
                <a:pt x="70" y="95"/>
              </a:lnTo>
              <a:lnTo>
                <a:pt x="69" y="100"/>
              </a:lnTo>
              <a:lnTo>
                <a:pt x="62" y="116"/>
              </a:lnTo>
              <a:lnTo>
                <a:pt x="61" y="127"/>
              </a:lnTo>
              <a:lnTo>
                <a:pt x="57" y="137"/>
              </a:lnTo>
              <a:lnTo>
                <a:pt x="58" y="144"/>
              </a:lnTo>
              <a:lnTo>
                <a:pt x="57" y="145"/>
              </a:lnTo>
              <a:lnTo>
                <a:pt x="55" y="148"/>
              </a:lnTo>
              <a:lnTo>
                <a:pt x="52" y="153"/>
              </a:lnTo>
              <a:lnTo>
                <a:pt x="50" y="165"/>
              </a:lnTo>
              <a:lnTo>
                <a:pt x="42" y="193"/>
              </a:lnTo>
              <a:lnTo>
                <a:pt x="39" y="199"/>
              </a:lnTo>
              <a:lnTo>
                <a:pt x="38" y="204"/>
              </a:lnTo>
              <a:lnTo>
                <a:pt x="42" y="203"/>
              </a:lnTo>
              <a:lnTo>
                <a:pt x="43" y="205"/>
              </a:lnTo>
              <a:lnTo>
                <a:pt x="38" y="205"/>
              </a:lnTo>
              <a:lnTo>
                <a:pt x="35" y="209"/>
              </a:lnTo>
              <a:lnTo>
                <a:pt x="30" y="220"/>
              </a:lnTo>
              <a:lnTo>
                <a:pt x="28" y="225"/>
              </a:lnTo>
              <a:lnTo>
                <a:pt x="30" y="227"/>
              </a:lnTo>
              <a:lnTo>
                <a:pt x="30" y="225"/>
              </a:lnTo>
              <a:lnTo>
                <a:pt x="30" y="227"/>
              </a:lnTo>
              <a:lnTo>
                <a:pt x="32" y="227"/>
              </a:lnTo>
              <a:lnTo>
                <a:pt x="31" y="231"/>
              </a:lnTo>
              <a:lnTo>
                <a:pt x="30" y="227"/>
              </a:lnTo>
              <a:lnTo>
                <a:pt x="30" y="227"/>
              </a:lnTo>
              <a:lnTo>
                <a:pt x="26" y="229"/>
              </a:lnTo>
              <a:lnTo>
                <a:pt x="24" y="236"/>
              </a:lnTo>
              <a:lnTo>
                <a:pt x="23" y="231"/>
              </a:lnTo>
              <a:lnTo>
                <a:pt x="15" y="252"/>
              </a:lnTo>
              <a:lnTo>
                <a:pt x="6" y="267"/>
              </a:lnTo>
              <a:lnTo>
                <a:pt x="6" y="277"/>
              </a:lnTo>
              <a:lnTo>
                <a:pt x="8" y="289"/>
              </a:lnTo>
              <a:lnTo>
                <a:pt x="7" y="295"/>
              </a:lnTo>
              <a:lnTo>
                <a:pt x="3" y="300"/>
              </a:lnTo>
              <a:lnTo>
                <a:pt x="3" y="305"/>
              </a:lnTo>
              <a:lnTo>
                <a:pt x="0" y="312"/>
              </a:lnTo>
              <a:lnTo>
                <a:pt x="1" y="335"/>
              </a:lnTo>
              <a:lnTo>
                <a:pt x="5" y="345"/>
              </a:lnTo>
              <a:lnTo>
                <a:pt x="5" y="345"/>
              </a:lnTo>
              <a:lnTo>
                <a:pt x="5" y="345"/>
              </a:lnTo>
              <a:close/>
            </a:path>
          </a:pathLst>
        </a:custGeom>
        <a:solidFill>
          <a:srgbClr val="FEF0D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24C0CFB1-4B6E-435D-9E64-61CFAE54AFAC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OR
2107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410751</xdr:colOff>
      <xdr:row>6</xdr:row>
      <xdr:rowOff>27196</xdr:rowOff>
    </xdr:from>
    <xdr:to>
      <xdr:col>3</xdr:col>
      <xdr:colOff>541165</xdr:colOff>
      <xdr:row>9</xdr:row>
      <xdr:rowOff>90052</xdr:rowOff>
    </xdr:to>
    <xdr:sp macro="" textlink="data!E60">
      <xdr:nvSpPr>
        <xdr:cNvPr id="175" name="WA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>
          <a:spLocks/>
        </xdr:cNvSpPr>
      </xdr:nvSpPr>
      <xdr:spPr bwMode="auto">
        <a:xfrm>
          <a:off x="1717037" y="973127"/>
          <a:ext cx="783556" cy="535822"/>
        </a:xfrm>
        <a:custGeom>
          <a:avLst/>
          <a:gdLst>
            <a:gd name="T0" fmla="*/ 28 w 341"/>
            <a:gd name="T1" fmla="*/ 220 h 329"/>
            <a:gd name="T2" fmla="*/ 42 w 341"/>
            <a:gd name="T3" fmla="*/ 232 h 329"/>
            <a:gd name="T4" fmla="*/ 47 w 341"/>
            <a:gd name="T5" fmla="*/ 278 h 329"/>
            <a:gd name="T6" fmla="*/ 64 w 341"/>
            <a:gd name="T7" fmla="*/ 290 h 329"/>
            <a:gd name="T8" fmla="*/ 85 w 341"/>
            <a:gd name="T9" fmla="*/ 286 h 329"/>
            <a:gd name="T10" fmla="*/ 105 w 341"/>
            <a:gd name="T11" fmla="*/ 291 h 329"/>
            <a:gd name="T12" fmla="*/ 122 w 341"/>
            <a:gd name="T13" fmla="*/ 302 h 329"/>
            <a:gd name="T14" fmla="*/ 147 w 341"/>
            <a:gd name="T15" fmla="*/ 306 h 329"/>
            <a:gd name="T16" fmla="*/ 172 w 341"/>
            <a:gd name="T17" fmla="*/ 303 h 329"/>
            <a:gd name="T18" fmla="*/ 202 w 341"/>
            <a:gd name="T19" fmla="*/ 302 h 329"/>
            <a:gd name="T20" fmla="*/ 256 w 341"/>
            <a:gd name="T21" fmla="*/ 315 h 329"/>
            <a:gd name="T22" fmla="*/ 306 w 341"/>
            <a:gd name="T23" fmla="*/ 295 h 329"/>
            <a:gd name="T24" fmla="*/ 341 w 341"/>
            <a:gd name="T25" fmla="*/ 77 h 329"/>
            <a:gd name="T26" fmla="*/ 101 w 341"/>
            <a:gd name="T27" fmla="*/ 0 h 329"/>
            <a:gd name="T28" fmla="*/ 101 w 341"/>
            <a:gd name="T29" fmla="*/ 16 h 329"/>
            <a:gd name="T30" fmla="*/ 107 w 341"/>
            <a:gd name="T31" fmla="*/ 36 h 329"/>
            <a:gd name="T32" fmla="*/ 103 w 341"/>
            <a:gd name="T33" fmla="*/ 49 h 329"/>
            <a:gd name="T34" fmla="*/ 100 w 341"/>
            <a:gd name="T35" fmla="*/ 50 h 329"/>
            <a:gd name="T36" fmla="*/ 104 w 341"/>
            <a:gd name="T37" fmla="*/ 69 h 329"/>
            <a:gd name="T38" fmla="*/ 102 w 341"/>
            <a:gd name="T39" fmla="*/ 97 h 329"/>
            <a:gd name="T40" fmla="*/ 96 w 341"/>
            <a:gd name="T41" fmla="*/ 118 h 329"/>
            <a:gd name="T42" fmla="*/ 81 w 341"/>
            <a:gd name="T43" fmla="*/ 145 h 329"/>
            <a:gd name="T44" fmla="*/ 69 w 341"/>
            <a:gd name="T45" fmla="*/ 148 h 329"/>
            <a:gd name="T46" fmla="*/ 62 w 341"/>
            <a:gd name="T47" fmla="*/ 148 h 329"/>
            <a:gd name="T48" fmla="*/ 73 w 341"/>
            <a:gd name="T49" fmla="*/ 132 h 329"/>
            <a:gd name="T50" fmla="*/ 72 w 341"/>
            <a:gd name="T51" fmla="*/ 146 h 329"/>
            <a:gd name="T52" fmla="*/ 76 w 341"/>
            <a:gd name="T53" fmla="*/ 140 h 329"/>
            <a:gd name="T54" fmla="*/ 81 w 341"/>
            <a:gd name="T55" fmla="*/ 120 h 329"/>
            <a:gd name="T56" fmla="*/ 85 w 341"/>
            <a:gd name="T57" fmla="*/ 104 h 329"/>
            <a:gd name="T58" fmla="*/ 91 w 341"/>
            <a:gd name="T59" fmla="*/ 90 h 329"/>
            <a:gd name="T60" fmla="*/ 61 w 341"/>
            <a:gd name="T61" fmla="*/ 122 h 329"/>
            <a:gd name="T62" fmla="*/ 62 w 341"/>
            <a:gd name="T63" fmla="*/ 129 h 329"/>
            <a:gd name="T64" fmla="*/ 73 w 341"/>
            <a:gd name="T65" fmla="*/ 106 h 329"/>
            <a:gd name="T66" fmla="*/ 81 w 341"/>
            <a:gd name="T67" fmla="*/ 100 h 329"/>
            <a:gd name="T68" fmla="*/ 86 w 341"/>
            <a:gd name="T69" fmla="*/ 68 h 329"/>
            <a:gd name="T70" fmla="*/ 74 w 341"/>
            <a:gd name="T71" fmla="*/ 72 h 329"/>
            <a:gd name="T72" fmla="*/ 64 w 341"/>
            <a:gd name="T73" fmla="*/ 62 h 329"/>
            <a:gd name="T74" fmla="*/ 39 w 341"/>
            <a:gd name="T75" fmla="*/ 49 h 329"/>
            <a:gd name="T76" fmla="*/ 21 w 341"/>
            <a:gd name="T77" fmla="*/ 30 h 329"/>
            <a:gd name="T78" fmla="*/ 9 w 341"/>
            <a:gd name="T79" fmla="*/ 26 h 329"/>
            <a:gd name="T80" fmla="*/ 5 w 341"/>
            <a:gd name="T81" fmla="*/ 48 h 329"/>
            <a:gd name="T82" fmla="*/ 11 w 341"/>
            <a:gd name="T83" fmla="*/ 77 h 329"/>
            <a:gd name="T84" fmla="*/ 9 w 341"/>
            <a:gd name="T85" fmla="*/ 136 h 329"/>
            <a:gd name="T86" fmla="*/ 14 w 341"/>
            <a:gd name="T87" fmla="*/ 141 h 329"/>
            <a:gd name="T88" fmla="*/ 9 w 341"/>
            <a:gd name="T89" fmla="*/ 154 h 329"/>
            <a:gd name="T90" fmla="*/ 9 w 341"/>
            <a:gd name="T91" fmla="*/ 165 h 329"/>
            <a:gd name="T92" fmla="*/ 13 w 341"/>
            <a:gd name="T93" fmla="*/ 172 h 329"/>
            <a:gd name="T94" fmla="*/ 11 w 341"/>
            <a:gd name="T95" fmla="*/ 193 h 329"/>
            <a:gd name="T96" fmla="*/ 6 w 341"/>
            <a:gd name="T97" fmla="*/ 180 h 329"/>
            <a:gd name="T98" fmla="*/ 7 w 341"/>
            <a:gd name="T99" fmla="*/ 208 h 329"/>
            <a:gd name="T100" fmla="*/ 24 w 341"/>
            <a:gd name="T101" fmla="*/ 212 h 32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341" h="329">
              <a:moveTo>
                <a:pt x="24" y="212"/>
              </a:moveTo>
              <a:lnTo>
                <a:pt x="26" y="213"/>
              </a:lnTo>
              <a:lnTo>
                <a:pt x="27" y="214"/>
              </a:lnTo>
              <a:lnTo>
                <a:pt x="28" y="220"/>
              </a:lnTo>
              <a:lnTo>
                <a:pt x="32" y="225"/>
              </a:lnTo>
              <a:lnTo>
                <a:pt x="36" y="224"/>
              </a:lnTo>
              <a:lnTo>
                <a:pt x="39" y="226"/>
              </a:lnTo>
              <a:lnTo>
                <a:pt x="42" y="232"/>
              </a:lnTo>
              <a:lnTo>
                <a:pt x="46" y="237"/>
              </a:lnTo>
              <a:lnTo>
                <a:pt x="48" y="248"/>
              </a:lnTo>
              <a:lnTo>
                <a:pt x="46" y="275"/>
              </a:lnTo>
              <a:lnTo>
                <a:pt x="47" y="278"/>
              </a:lnTo>
              <a:lnTo>
                <a:pt x="54" y="282"/>
              </a:lnTo>
              <a:lnTo>
                <a:pt x="58" y="286"/>
              </a:lnTo>
              <a:lnTo>
                <a:pt x="60" y="286"/>
              </a:lnTo>
              <a:lnTo>
                <a:pt x="64" y="290"/>
              </a:lnTo>
              <a:lnTo>
                <a:pt x="68" y="291"/>
              </a:lnTo>
              <a:lnTo>
                <a:pt x="77" y="290"/>
              </a:lnTo>
              <a:lnTo>
                <a:pt x="81" y="289"/>
              </a:lnTo>
              <a:lnTo>
                <a:pt x="85" y="286"/>
              </a:lnTo>
              <a:lnTo>
                <a:pt x="89" y="286"/>
              </a:lnTo>
              <a:lnTo>
                <a:pt x="93" y="287"/>
              </a:lnTo>
              <a:lnTo>
                <a:pt x="100" y="289"/>
              </a:lnTo>
              <a:lnTo>
                <a:pt x="105" y="291"/>
              </a:lnTo>
              <a:lnTo>
                <a:pt x="109" y="293"/>
              </a:lnTo>
              <a:lnTo>
                <a:pt x="113" y="297"/>
              </a:lnTo>
              <a:lnTo>
                <a:pt x="114" y="302"/>
              </a:lnTo>
              <a:lnTo>
                <a:pt x="122" y="302"/>
              </a:lnTo>
              <a:lnTo>
                <a:pt x="126" y="303"/>
              </a:lnTo>
              <a:lnTo>
                <a:pt x="139" y="299"/>
              </a:lnTo>
              <a:lnTo>
                <a:pt x="143" y="302"/>
              </a:lnTo>
              <a:lnTo>
                <a:pt x="147" y="306"/>
              </a:lnTo>
              <a:lnTo>
                <a:pt x="151" y="307"/>
              </a:lnTo>
              <a:lnTo>
                <a:pt x="156" y="307"/>
              </a:lnTo>
              <a:lnTo>
                <a:pt x="164" y="305"/>
              </a:lnTo>
              <a:lnTo>
                <a:pt x="172" y="303"/>
              </a:lnTo>
              <a:lnTo>
                <a:pt x="185" y="303"/>
              </a:lnTo>
              <a:lnTo>
                <a:pt x="189" y="301"/>
              </a:lnTo>
              <a:lnTo>
                <a:pt x="192" y="302"/>
              </a:lnTo>
              <a:lnTo>
                <a:pt x="202" y="302"/>
              </a:lnTo>
              <a:lnTo>
                <a:pt x="206" y="305"/>
              </a:lnTo>
              <a:lnTo>
                <a:pt x="211" y="305"/>
              </a:lnTo>
              <a:lnTo>
                <a:pt x="215" y="302"/>
              </a:lnTo>
              <a:lnTo>
                <a:pt x="256" y="315"/>
              </a:lnTo>
              <a:lnTo>
                <a:pt x="308" y="329"/>
              </a:lnTo>
              <a:lnTo>
                <a:pt x="307" y="323"/>
              </a:lnTo>
              <a:lnTo>
                <a:pt x="309" y="307"/>
              </a:lnTo>
              <a:lnTo>
                <a:pt x="306" y="295"/>
              </a:lnTo>
              <a:lnTo>
                <a:pt x="308" y="290"/>
              </a:lnTo>
              <a:lnTo>
                <a:pt x="309" y="273"/>
              </a:lnTo>
              <a:lnTo>
                <a:pt x="341" y="80"/>
              </a:lnTo>
              <a:lnTo>
                <a:pt x="341" y="77"/>
              </a:lnTo>
              <a:lnTo>
                <a:pt x="300" y="65"/>
              </a:lnTo>
              <a:lnTo>
                <a:pt x="225" y="42"/>
              </a:lnTo>
              <a:lnTo>
                <a:pt x="159" y="20"/>
              </a:lnTo>
              <a:lnTo>
                <a:pt x="101" y="0"/>
              </a:lnTo>
              <a:lnTo>
                <a:pt x="98" y="4"/>
              </a:lnTo>
              <a:lnTo>
                <a:pt x="99" y="9"/>
              </a:lnTo>
              <a:lnTo>
                <a:pt x="101" y="14"/>
              </a:lnTo>
              <a:lnTo>
                <a:pt x="101" y="16"/>
              </a:lnTo>
              <a:lnTo>
                <a:pt x="104" y="22"/>
              </a:lnTo>
              <a:lnTo>
                <a:pt x="108" y="25"/>
              </a:lnTo>
              <a:lnTo>
                <a:pt x="107" y="30"/>
              </a:lnTo>
              <a:lnTo>
                <a:pt x="107" y="36"/>
              </a:lnTo>
              <a:lnTo>
                <a:pt x="107" y="40"/>
              </a:lnTo>
              <a:lnTo>
                <a:pt x="103" y="37"/>
              </a:lnTo>
              <a:lnTo>
                <a:pt x="105" y="42"/>
              </a:lnTo>
              <a:lnTo>
                <a:pt x="103" y="49"/>
              </a:lnTo>
              <a:lnTo>
                <a:pt x="99" y="45"/>
              </a:lnTo>
              <a:lnTo>
                <a:pt x="96" y="45"/>
              </a:lnTo>
              <a:lnTo>
                <a:pt x="96" y="50"/>
              </a:lnTo>
              <a:lnTo>
                <a:pt x="100" y="50"/>
              </a:lnTo>
              <a:lnTo>
                <a:pt x="101" y="56"/>
              </a:lnTo>
              <a:lnTo>
                <a:pt x="105" y="62"/>
              </a:lnTo>
              <a:lnTo>
                <a:pt x="104" y="66"/>
              </a:lnTo>
              <a:lnTo>
                <a:pt x="104" y="69"/>
              </a:lnTo>
              <a:lnTo>
                <a:pt x="103" y="80"/>
              </a:lnTo>
              <a:lnTo>
                <a:pt x="106" y="85"/>
              </a:lnTo>
              <a:lnTo>
                <a:pt x="106" y="92"/>
              </a:lnTo>
              <a:lnTo>
                <a:pt x="102" y="97"/>
              </a:lnTo>
              <a:lnTo>
                <a:pt x="97" y="104"/>
              </a:lnTo>
              <a:lnTo>
                <a:pt x="97" y="109"/>
              </a:lnTo>
              <a:lnTo>
                <a:pt x="93" y="113"/>
              </a:lnTo>
              <a:lnTo>
                <a:pt x="96" y="118"/>
              </a:lnTo>
              <a:lnTo>
                <a:pt x="93" y="124"/>
              </a:lnTo>
              <a:lnTo>
                <a:pt x="93" y="136"/>
              </a:lnTo>
              <a:lnTo>
                <a:pt x="89" y="141"/>
              </a:lnTo>
              <a:lnTo>
                <a:pt x="81" y="145"/>
              </a:lnTo>
              <a:lnTo>
                <a:pt x="79" y="149"/>
              </a:lnTo>
              <a:lnTo>
                <a:pt x="75" y="153"/>
              </a:lnTo>
              <a:lnTo>
                <a:pt x="71" y="154"/>
              </a:lnTo>
              <a:lnTo>
                <a:pt x="69" y="148"/>
              </a:lnTo>
              <a:lnTo>
                <a:pt x="64" y="150"/>
              </a:lnTo>
              <a:lnTo>
                <a:pt x="64" y="157"/>
              </a:lnTo>
              <a:lnTo>
                <a:pt x="61" y="153"/>
              </a:lnTo>
              <a:lnTo>
                <a:pt x="62" y="148"/>
              </a:lnTo>
              <a:lnTo>
                <a:pt x="58" y="146"/>
              </a:lnTo>
              <a:lnTo>
                <a:pt x="62" y="145"/>
              </a:lnTo>
              <a:lnTo>
                <a:pt x="65" y="140"/>
              </a:lnTo>
              <a:lnTo>
                <a:pt x="73" y="132"/>
              </a:lnTo>
              <a:lnTo>
                <a:pt x="72" y="138"/>
              </a:lnTo>
              <a:lnTo>
                <a:pt x="70" y="144"/>
              </a:lnTo>
              <a:lnTo>
                <a:pt x="71" y="149"/>
              </a:lnTo>
              <a:lnTo>
                <a:pt x="72" y="146"/>
              </a:lnTo>
              <a:lnTo>
                <a:pt x="73" y="141"/>
              </a:lnTo>
              <a:lnTo>
                <a:pt x="76" y="136"/>
              </a:lnTo>
              <a:lnTo>
                <a:pt x="80" y="134"/>
              </a:lnTo>
              <a:lnTo>
                <a:pt x="76" y="140"/>
              </a:lnTo>
              <a:lnTo>
                <a:pt x="81" y="144"/>
              </a:lnTo>
              <a:lnTo>
                <a:pt x="87" y="124"/>
              </a:lnTo>
              <a:lnTo>
                <a:pt x="85" y="118"/>
              </a:lnTo>
              <a:lnTo>
                <a:pt x="81" y="120"/>
              </a:lnTo>
              <a:lnTo>
                <a:pt x="81" y="113"/>
              </a:lnTo>
              <a:lnTo>
                <a:pt x="85" y="116"/>
              </a:lnTo>
              <a:lnTo>
                <a:pt x="86" y="110"/>
              </a:lnTo>
              <a:lnTo>
                <a:pt x="85" y="104"/>
              </a:lnTo>
              <a:lnTo>
                <a:pt x="89" y="105"/>
              </a:lnTo>
              <a:lnTo>
                <a:pt x="93" y="102"/>
              </a:lnTo>
              <a:lnTo>
                <a:pt x="93" y="96"/>
              </a:lnTo>
              <a:lnTo>
                <a:pt x="91" y="90"/>
              </a:lnTo>
              <a:lnTo>
                <a:pt x="81" y="102"/>
              </a:lnTo>
              <a:lnTo>
                <a:pt x="78" y="109"/>
              </a:lnTo>
              <a:lnTo>
                <a:pt x="70" y="112"/>
              </a:lnTo>
              <a:lnTo>
                <a:pt x="61" y="122"/>
              </a:lnTo>
              <a:lnTo>
                <a:pt x="62" y="128"/>
              </a:lnTo>
              <a:lnTo>
                <a:pt x="66" y="126"/>
              </a:lnTo>
              <a:lnTo>
                <a:pt x="70" y="128"/>
              </a:lnTo>
              <a:lnTo>
                <a:pt x="62" y="129"/>
              </a:lnTo>
              <a:lnTo>
                <a:pt x="58" y="125"/>
              </a:lnTo>
              <a:lnTo>
                <a:pt x="61" y="120"/>
              </a:lnTo>
              <a:lnTo>
                <a:pt x="69" y="110"/>
              </a:lnTo>
              <a:lnTo>
                <a:pt x="73" y="106"/>
              </a:lnTo>
              <a:lnTo>
                <a:pt x="81" y="94"/>
              </a:lnTo>
              <a:lnTo>
                <a:pt x="79" y="100"/>
              </a:lnTo>
              <a:lnTo>
                <a:pt x="79" y="105"/>
              </a:lnTo>
              <a:lnTo>
                <a:pt x="81" y="100"/>
              </a:lnTo>
              <a:lnTo>
                <a:pt x="86" y="94"/>
              </a:lnTo>
              <a:lnTo>
                <a:pt x="87" y="88"/>
              </a:lnTo>
              <a:lnTo>
                <a:pt x="85" y="74"/>
              </a:lnTo>
              <a:lnTo>
                <a:pt x="86" y="68"/>
              </a:lnTo>
              <a:lnTo>
                <a:pt x="82" y="72"/>
              </a:lnTo>
              <a:lnTo>
                <a:pt x="81" y="78"/>
              </a:lnTo>
              <a:lnTo>
                <a:pt x="79" y="69"/>
              </a:lnTo>
              <a:lnTo>
                <a:pt x="74" y="72"/>
              </a:lnTo>
              <a:lnTo>
                <a:pt x="74" y="66"/>
              </a:lnTo>
              <a:lnTo>
                <a:pt x="73" y="61"/>
              </a:lnTo>
              <a:lnTo>
                <a:pt x="69" y="62"/>
              </a:lnTo>
              <a:lnTo>
                <a:pt x="64" y="62"/>
              </a:lnTo>
              <a:lnTo>
                <a:pt x="60" y="58"/>
              </a:lnTo>
              <a:lnTo>
                <a:pt x="51" y="56"/>
              </a:lnTo>
              <a:lnTo>
                <a:pt x="47" y="52"/>
              </a:lnTo>
              <a:lnTo>
                <a:pt x="39" y="49"/>
              </a:lnTo>
              <a:lnTo>
                <a:pt x="33" y="44"/>
              </a:lnTo>
              <a:lnTo>
                <a:pt x="30" y="38"/>
              </a:lnTo>
              <a:lnTo>
                <a:pt x="26" y="36"/>
              </a:lnTo>
              <a:lnTo>
                <a:pt x="21" y="30"/>
              </a:lnTo>
              <a:lnTo>
                <a:pt x="14" y="21"/>
              </a:lnTo>
              <a:lnTo>
                <a:pt x="9" y="17"/>
              </a:lnTo>
              <a:lnTo>
                <a:pt x="11" y="25"/>
              </a:lnTo>
              <a:lnTo>
                <a:pt x="9" y="26"/>
              </a:lnTo>
              <a:lnTo>
                <a:pt x="8" y="32"/>
              </a:lnTo>
              <a:lnTo>
                <a:pt x="5" y="37"/>
              </a:lnTo>
              <a:lnTo>
                <a:pt x="6" y="42"/>
              </a:lnTo>
              <a:lnTo>
                <a:pt x="5" y="48"/>
              </a:lnTo>
              <a:lnTo>
                <a:pt x="5" y="54"/>
              </a:lnTo>
              <a:lnTo>
                <a:pt x="5" y="60"/>
              </a:lnTo>
              <a:lnTo>
                <a:pt x="9" y="66"/>
              </a:lnTo>
              <a:lnTo>
                <a:pt x="11" y="77"/>
              </a:lnTo>
              <a:lnTo>
                <a:pt x="11" y="82"/>
              </a:lnTo>
              <a:lnTo>
                <a:pt x="9" y="105"/>
              </a:lnTo>
              <a:lnTo>
                <a:pt x="11" y="118"/>
              </a:lnTo>
              <a:lnTo>
                <a:pt x="9" y="136"/>
              </a:lnTo>
              <a:lnTo>
                <a:pt x="8" y="141"/>
              </a:lnTo>
              <a:lnTo>
                <a:pt x="9" y="142"/>
              </a:lnTo>
              <a:lnTo>
                <a:pt x="11" y="137"/>
              </a:lnTo>
              <a:lnTo>
                <a:pt x="14" y="141"/>
              </a:lnTo>
              <a:lnTo>
                <a:pt x="18" y="148"/>
              </a:lnTo>
              <a:lnTo>
                <a:pt x="22" y="149"/>
              </a:lnTo>
              <a:lnTo>
                <a:pt x="16" y="150"/>
              </a:lnTo>
              <a:lnTo>
                <a:pt x="9" y="154"/>
              </a:lnTo>
              <a:lnTo>
                <a:pt x="9" y="149"/>
              </a:lnTo>
              <a:lnTo>
                <a:pt x="7" y="160"/>
              </a:lnTo>
              <a:lnTo>
                <a:pt x="8" y="166"/>
              </a:lnTo>
              <a:lnTo>
                <a:pt x="9" y="165"/>
              </a:lnTo>
              <a:lnTo>
                <a:pt x="17" y="169"/>
              </a:lnTo>
              <a:lnTo>
                <a:pt x="19" y="174"/>
              </a:lnTo>
              <a:lnTo>
                <a:pt x="18" y="174"/>
              </a:lnTo>
              <a:lnTo>
                <a:pt x="13" y="172"/>
              </a:lnTo>
              <a:lnTo>
                <a:pt x="11" y="177"/>
              </a:lnTo>
              <a:lnTo>
                <a:pt x="12" y="182"/>
              </a:lnTo>
              <a:lnTo>
                <a:pt x="9" y="188"/>
              </a:lnTo>
              <a:lnTo>
                <a:pt x="11" y="193"/>
              </a:lnTo>
              <a:lnTo>
                <a:pt x="11" y="194"/>
              </a:lnTo>
              <a:lnTo>
                <a:pt x="9" y="190"/>
              </a:lnTo>
              <a:lnTo>
                <a:pt x="5" y="190"/>
              </a:lnTo>
              <a:lnTo>
                <a:pt x="6" y="180"/>
              </a:lnTo>
              <a:lnTo>
                <a:pt x="5" y="174"/>
              </a:lnTo>
              <a:lnTo>
                <a:pt x="0" y="202"/>
              </a:lnTo>
              <a:lnTo>
                <a:pt x="4" y="202"/>
              </a:lnTo>
              <a:lnTo>
                <a:pt x="7" y="208"/>
              </a:lnTo>
              <a:lnTo>
                <a:pt x="16" y="205"/>
              </a:lnTo>
              <a:lnTo>
                <a:pt x="18" y="210"/>
              </a:lnTo>
              <a:lnTo>
                <a:pt x="22" y="212"/>
              </a:lnTo>
              <a:lnTo>
                <a:pt x="24" y="212"/>
              </a:lnTo>
              <a:lnTo>
                <a:pt x="24" y="212"/>
              </a:lnTo>
              <a:lnTo>
                <a:pt x="24" y="212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71C4F578-7EF0-41FF-AAA8-8B8021FF6B6B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WA
2520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547076</xdr:colOff>
      <xdr:row>12</xdr:row>
      <xdr:rowOff>95824</xdr:rowOff>
    </xdr:from>
    <xdr:to>
      <xdr:col>4</xdr:col>
      <xdr:colOff>29613</xdr:colOff>
      <xdr:row>19</xdr:row>
      <xdr:rowOff>80876</xdr:rowOff>
    </xdr:to>
    <xdr:sp macro="" textlink="data!E44">
      <xdr:nvSpPr>
        <xdr:cNvPr id="176" name="NV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>
          <a:spLocks/>
        </xdr:cNvSpPr>
      </xdr:nvSpPr>
      <xdr:spPr bwMode="auto">
        <a:xfrm>
          <a:off x="1853362" y="1989938"/>
          <a:ext cx="788822" cy="1089952"/>
        </a:xfrm>
        <a:custGeom>
          <a:avLst/>
          <a:gdLst>
            <a:gd name="T0" fmla="*/ 11 w 325"/>
            <a:gd name="T1" fmla="*/ 194 h 670"/>
            <a:gd name="T2" fmla="*/ 0 w 325"/>
            <a:gd name="T3" fmla="*/ 251 h 670"/>
            <a:gd name="T4" fmla="*/ 151 w 325"/>
            <a:gd name="T5" fmla="*/ 545 h 670"/>
            <a:gd name="T6" fmla="*/ 215 w 325"/>
            <a:gd name="T7" fmla="*/ 670 h 670"/>
            <a:gd name="T8" fmla="*/ 215 w 325"/>
            <a:gd name="T9" fmla="*/ 657 h 670"/>
            <a:gd name="T10" fmla="*/ 220 w 325"/>
            <a:gd name="T11" fmla="*/ 653 h 670"/>
            <a:gd name="T12" fmla="*/ 221 w 325"/>
            <a:gd name="T13" fmla="*/ 639 h 670"/>
            <a:gd name="T14" fmla="*/ 219 w 325"/>
            <a:gd name="T15" fmla="*/ 629 h 670"/>
            <a:gd name="T16" fmla="*/ 219 w 325"/>
            <a:gd name="T17" fmla="*/ 623 h 670"/>
            <a:gd name="T18" fmla="*/ 221 w 325"/>
            <a:gd name="T19" fmla="*/ 615 h 670"/>
            <a:gd name="T20" fmla="*/ 220 w 325"/>
            <a:gd name="T21" fmla="*/ 605 h 670"/>
            <a:gd name="T22" fmla="*/ 221 w 325"/>
            <a:gd name="T23" fmla="*/ 599 h 670"/>
            <a:gd name="T24" fmla="*/ 223 w 325"/>
            <a:gd name="T25" fmla="*/ 594 h 670"/>
            <a:gd name="T26" fmla="*/ 220 w 325"/>
            <a:gd name="T27" fmla="*/ 582 h 670"/>
            <a:gd name="T28" fmla="*/ 222 w 325"/>
            <a:gd name="T29" fmla="*/ 575 h 670"/>
            <a:gd name="T30" fmla="*/ 227 w 325"/>
            <a:gd name="T31" fmla="*/ 571 h 670"/>
            <a:gd name="T32" fmla="*/ 232 w 325"/>
            <a:gd name="T33" fmla="*/ 570 h 670"/>
            <a:gd name="T34" fmla="*/ 236 w 325"/>
            <a:gd name="T35" fmla="*/ 574 h 670"/>
            <a:gd name="T36" fmla="*/ 240 w 325"/>
            <a:gd name="T37" fmla="*/ 574 h 670"/>
            <a:gd name="T38" fmla="*/ 244 w 325"/>
            <a:gd name="T39" fmla="*/ 579 h 670"/>
            <a:gd name="T40" fmla="*/ 245 w 325"/>
            <a:gd name="T41" fmla="*/ 586 h 670"/>
            <a:gd name="T42" fmla="*/ 250 w 325"/>
            <a:gd name="T43" fmla="*/ 586 h 670"/>
            <a:gd name="T44" fmla="*/ 254 w 325"/>
            <a:gd name="T45" fmla="*/ 581 h 670"/>
            <a:gd name="T46" fmla="*/ 258 w 325"/>
            <a:gd name="T47" fmla="*/ 573 h 670"/>
            <a:gd name="T48" fmla="*/ 268 w 325"/>
            <a:gd name="T49" fmla="*/ 505 h 670"/>
            <a:gd name="T50" fmla="*/ 325 w 325"/>
            <a:gd name="T51" fmla="*/ 77 h 670"/>
            <a:gd name="T52" fmla="*/ 261 w 325"/>
            <a:gd name="T53" fmla="*/ 62 h 670"/>
            <a:gd name="T54" fmla="*/ 185 w 325"/>
            <a:gd name="T55" fmla="*/ 41 h 670"/>
            <a:gd name="T56" fmla="*/ 128 w 325"/>
            <a:gd name="T57" fmla="*/ 25 h 670"/>
            <a:gd name="T58" fmla="*/ 46 w 325"/>
            <a:gd name="T59" fmla="*/ 0 h 670"/>
            <a:gd name="T60" fmla="*/ 11 w 325"/>
            <a:gd name="T61" fmla="*/ 194 h 670"/>
            <a:gd name="T62" fmla="*/ 11 w 325"/>
            <a:gd name="T63" fmla="*/ 194 h 670"/>
            <a:gd name="T64" fmla="*/ 11 w 325"/>
            <a:gd name="T65" fmla="*/ 194 h 67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25" h="670">
              <a:moveTo>
                <a:pt x="11" y="194"/>
              </a:moveTo>
              <a:lnTo>
                <a:pt x="0" y="251"/>
              </a:lnTo>
              <a:lnTo>
                <a:pt x="151" y="545"/>
              </a:lnTo>
              <a:lnTo>
                <a:pt x="215" y="670"/>
              </a:lnTo>
              <a:lnTo>
                <a:pt x="215" y="657"/>
              </a:lnTo>
              <a:lnTo>
                <a:pt x="220" y="653"/>
              </a:lnTo>
              <a:lnTo>
                <a:pt x="221" y="639"/>
              </a:lnTo>
              <a:lnTo>
                <a:pt x="219" y="629"/>
              </a:lnTo>
              <a:lnTo>
                <a:pt x="219" y="623"/>
              </a:lnTo>
              <a:lnTo>
                <a:pt x="221" y="615"/>
              </a:lnTo>
              <a:lnTo>
                <a:pt x="220" y="605"/>
              </a:lnTo>
              <a:lnTo>
                <a:pt x="221" y="599"/>
              </a:lnTo>
              <a:lnTo>
                <a:pt x="223" y="594"/>
              </a:lnTo>
              <a:lnTo>
                <a:pt x="220" y="582"/>
              </a:lnTo>
              <a:lnTo>
                <a:pt x="222" y="575"/>
              </a:lnTo>
              <a:lnTo>
                <a:pt x="227" y="571"/>
              </a:lnTo>
              <a:lnTo>
                <a:pt x="232" y="570"/>
              </a:lnTo>
              <a:lnTo>
                <a:pt x="236" y="574"/>
              </a:lnTo>
              <a:lnTo>
                <a:pt x="240" y="574"/>
              </a:lnTo>
              <a:lnTo>
                <a:pt x="244" y="579"/>
              </a:lnTo>
              <a:lnTo>
                <a:pt x="245" y="586"/>
              </a:lnTo>
              <a:lnTo>
                <a:pt x="250" y="586"/>
              </a:lnTo>
              <a:lnTo>
                <a:pt x="254" y="581"/>
              </a:lnTo>
              <a:lnTo>
                <a:pt x="258" y="573"/>
              </a:lnTo>
              <a:lnTo>
                <a:pt x="268" y="505"/>
              </a:lnTo>
              <a:lnTo>
                <a:pt x="325" y="77"/>
              </a:lnTo>
              <a:lnTo>
                <a:pt x="261" y="62"/>
              </a:lnTo>
              <a:lnTo>
                <a:pt x="185" y="41"/>
              </a:lnTo>
              <a:lnTo>
                <a:pt x="128" y="25"/>
              </a:lnTo>
              <a:lnTo>
                <a:pt x="46" y="0"/>
              </a:lnTo>
              <a:lnTo>
                <a:pt x="11" y="194"/>
              </a:lnTo>
              <a:lnTo>
                <a:pt x="11" y="194"/>
              </a:lnTo>
              <a:lnTo>
                <a:pt x="11" y="194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963A7FB5-8BE3-4717-BE8B-36F7F5DA2BED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NV
5811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320242</xdr:colOff>
      <xdr:row>17</xdr:row>
      <xdr:rowOff>127094</xdr:rowOff>
    </xdr:from>
    <xdr:to>
      <xdr:col>4</xdr:col>
      <xdr:colOff>463415</xdr:colOff>
      <xdr:row>23</xdr:row>
      <xdr:rowOff>65676</xdr:rowOff>
    </xdr:to>
    <xdr:sp macro="" textlink="data!E14">
      <xdr:nvSpPr>
        <xdr:cNvPr id="177" name="AZ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>
          <a:spLocks/>
        </xdr:cNvSpPr>
      </xdr:nvSpPr>
      <xdr:spPr bwMode="auto">
        <a:xfrm>
          <a:off x="2279671" y="2810423"/>
          <a:ext cx="796315" cy="885639"/>
        </a:xfrm>
        <a:custGeom>
          <a:avLst/>
          <a:gdLst>
            <a:gd name="T0" fmla="*/ 2 w 345"/>
            <a:gd name="T1" fmla="*/ 367 h 538"/>
            <a:gd name="T2" fmla="*/ 13 w 345"/>
            <a:gd name="T3" fmla="*/ 383 h 538"/>
            <a:gd name="T4" fmla="*/ 190 w 345"/>
            <a:gd name="T5" fmla="*/ 519 h 538"/>
            <a:gd name="T6" fmla="*/ 299 w 345"/>
            <a:gd name="T7" fmla="*/ 538 h 538"/>
            <a:gd name="T8" fmla="*/ 345 w 345"/>
            <a:gd name="T9" fmla="*/ 52 h 538"/>
            <a:gd name="T10" fmla="*/ 208 w 345"/>
            <a:gd name="T11" fmla="*/ 26 h 538"/>
            <a:gd name="T12" fmla="*/ 93 w 345"/>
            <a:gd name="T13" fmla="*/ 0 h 538"/>
            <a:gd name="T14" fmla="*/ 79 w 345"/>
            <a:gd name="T15" fmla="*/ 76 h 538"/>
            <a:gd name="T16" fmla="*/ 70 w 345"/>
            <a:gd name="T17" fmla="*/ 81 h 538"/>
            <a:gd name="T18" fmla="*/ 65 w 345"/>
            <a:gd name="T19" fmla="*/ 69 h 538"/>
            <a:gd name="T20" fmla="*/ 57 w 345"/>
            <a:gd name="T21" fmla="*/ 65 h 538"/>
            <a:gd name="T22" fmla="*/ 47 w 345"/>
            <a:gd name="T23" fmla="*/ 70 h 538"/>
            <a:gd name="T24" fmla="*/ 48 w 345"/>
            <a:gd name="T25" fmla="*/ 89 h 538"/>
            <a:gd name="T26" fmla="*/ 45 w 345"/>
            <a:gd name="T27" fmla="*/ 100 h 538"/>
            <a:gd name="T28" fmla="*/ 44 w 345"/>
            <a:gd name="T29" fmla="*/ 118 h 538"/>
            <a:gd name="T30" fmla="*/ 46 w 345"/>
            <a:gd name="T31" fmla="*/ 134 h 538"/>
            <a:gd name="T32" fmla="*/ 40 w 345"/>
            <a:gd name="T33" fmla="*/ 152 h 538"/>
            <a:gd name="T34" fmla="*/ 39 w 345"/>
            <a:gd name="T35" fmla="*/ 170 h 538"/>
            <a:gd name="T36" fmla="*/ 44 w 345"/>
            <a:gd name="T37" fmla="*/ 188 h 538"/>
            <a:gd name="T38" fmla="*/ 46 w 345"/>
            <a:gd name="T39" fmla="*/ 200 h 538"/>
            <a:gd name="T40" fmla="*/ 47 w 345"/>
            <a:gd name="T41" fmla="*/ 213 h 538"/>
            <a:gd name="T42" fmla="*/ 58 w 345"/>
            <a:gd name="T43" fmla="*/ 229 h 538"/>
            <a:gd name="T44" fmla="*/ 40 w 345"/>
            <a:gd name="T45" fmla="*/ 243 h 538"/>
            <a:gd name="T46" fmla="*/ 34 w 345"/>
            <a:gd name="T47" fmla="*/ 253 h 538"/>
            <a:gd name="T48" fmla="*/ 32 w 345"/>
            <a:gd name="T49" fmla="*/ 273 h 538"/>
            <a:gd name="T50" fmla="*/ 28 w 345"/>
            <a:gd name="T51" fmla="*/ 286 h 538"/>
            <a:gd name="T52" fmla="*/ 16 w 345"/>
            <a:gd name="T53" fmla="*/ 302 h 538"/>
            <a:gd name="T54" fmla="*/ 16 w 345"/>
            <a:gd name="T55" fmla="*/ 313 h 538"/>
            <a:gd name="T56" fmla="*/ 13 w 345"/>
            <a:gd name="T57" fmla="*/ 325 h 538"/>
            <a:gd name="T58" fmla="*/ 18 w 345"/>
            <a:gd name="T59" fmla="*/ 331 h 538"/>
            <a:gd name="T60" fmla="*/ 23 w 345"/>
            <a:gd name="T61" fmla="*/ 341 h 538"/>
            <a:gd name="T62" fmla="*/ 18 w 345"/>
            <a:gd name="T63" fmla="*/ 353 h 538"/>
            <a:gd name="T64" fmla="*/ 13 w 345"/>
            <a:gd name="T65" fmla="*/ 357 h 538"/>
            <a:gd name="T66" fmla="*/ 10 w 345"/>
            <a:gd name="T67" fmla="*/ 357 h 538"/>
            <a:gd name="T68" fmla="*/ 8 w 345"/>
            <a:gd name="T69" fmla="*/ 357 h 53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</a:cxnLst>
          <a:rect l="0" t="0" r="r" b="b"/>
          <a:pathLst>
            <a:path w="345" h="538">
              <a:moveTo>
                <a:pt x="8" y="357"/>
              </a:moveTo>
              <a:lnTo>
                <a:pt x="2" y="367"/>
              </a:lnTo>
              <a:lnTo>
                <a:pt x="0" y="374"/>
              </a:lnTo>
              <a:lnTo>
                <a:pt x="13" y="383"/>
              </a:lnTo>
              <a:lnTo>
                <a:pt x="120" y="466"/>
              </a:lnTo>
              <a:lnTo>
                <a:pt x="190" y="519"/>
              </a:lnTo>
              <a:lnTo>
                <a:pt x="272" y="534"/>
              </a:lnTo>
              <a:lnTo>
                <a:pt x="299" y="538"/>
              </a:lnTo>
              <a:lnTo>
                <a:pt x="300" y="535"/>
              </a:lnTo>
              <a:lnTo>
                <a:pt x="345" y="52"/>
              </a:lnTo>
              <a:lnTo>
                <a:pt x="276" y="40"/>
              </a:lnTo>
              <a:lnTo>
                <a:pt x="208" y="26"/>
              </a:lnTo>
              <a:lnTo>
                <a:pt x="139" y="10"/>
              </a:lnTo>
              <a:lnTo>
                <a:pt x="93" y="0"/>
              </a:lnTo>
              <a:lnTo>
                <a:pt x="83" y="68"/>
              </a:lnTo>
              <a:lnTo>
                <a:pt x="79" y="76"/>
              </a:lnTo>
              <a:lnTo>
                <a:pt x="75" y="81"/>
              </a:lnTo>
              <a:lnTo>
                <a:pt x="70" y="81"/>
              </a:lnTo>
              <a:lnTo>
                <a:pt x="69" y="74"/>
              </a:lnTo>
              <a:lnTo>
                <a:pt x="65" y="69"/>
              </a:lnTo>
              <a:lnTo>
                <a:pt x="61" y="69"/>
              </a:lnTo>
              <a:lnTo>
                <a:pt x="57" y="65"/>
              </a:lnTo>
              <a:lnTo>
                <a:pt x="52" y="66"/>
              </a:lnTo>
              <a:lnTo>
                <a:pt x="47" y="70"/>
              </a:lnTo>
              <a:lnTo>
                <a:pt x="45" y="77"/>
              </a:lnTo>
              <a:lnTo>
                <a:pt x="48" y="89"/>
              </a:lnTo>
              <a:lnTo>
                <a:pt x="46" y="94"/>
              </a:lnTo>
              <a:lnTo>
                <a:pt x="45" y="100"/>
              </a:lnTo>
              <a:lnTo>
                <a:pt x="46" y="110"/>
              </a:lnTo>
              <a:lnTo>
                <a:pt x="44" y="118"/>
              </a:lnTo>
              <a:lnTo>
                <a:pt x="44" y="124"/>
              </a:lnTo>
              <a:lnTo>
                <a:pt x="46" y="134"/>
              </a:lnTo>
              <a:lnTo>
                <a:pt x="45" y="148"/>
              </a:lnTo>
              <a:lnTo>
                <a:pt x="40" y="152"/>
              </a:lnTo>
              <a:lnTo>
                <a:pt x="40" y="165"/>
              </a:lnTo>
              <a:lnTo>
                <a:pt x="39" y="170"/>
              </a:lnTo>
              <a:lnTo>
                <a:pt x="39" y="176"/>
              </a:lnTo>
              <a:lnTo>
                <a:pt x="44" y="188"/>
              </a:lnTo>
              <a:lnTo>
                <a:pt x="45" y="194"/>
              </a:lnTo>
              <a:lnTo>
                <a:pt x="46" y="200"/>
              </a:lnTo>
              <a:lnTo>
                <a:pt x="47" y="206"/>
              </a:lnTo>
              <a:lnTo>
                <a:pt x="47" y="213"/>
              </a:lnTo>
              <a:lnTo>
                <a:pt x="55" y="224"/>
              </a:lnTo>
              <a:lnTo>
                <a:pt x="58" y="229"/>
              </a:lnTo>
              <a:lnTo>
                <a:pt x="54" y="234"/>
              </a:lnTo>
              <a:lnTo>
                <a:pt x="40" y="243"/>
              </a:lnTo>
              <a:lnTo>
                <a:pt x="38" y="249"/>
              </a:lnTo>
              <a:lnTo>
                <a:pt x="34" y="253"/>
              </a:lnTo>
              <a:lnTo>
                <a:pt x="32" y="262"/>
              </a:lnTo>
              <a:lnTo>
                <a:pt x="32" y="273"/>
              </a:lnTo>
              <a:lnTo>
                <a:pt x="29" y="278"/>
              </a:lnTo>
              <a:lnTo>
                <a:pt x="28" y="286"/>
              </a:lnTo>
              <a:lnTo>
                <a:pt x="20" y="298"/>
              </a:lnTo>
              <a:lnTo>
                <a:pt x="16" y="302"/>
              </a:lnTo>
              <a:lnTo>
                <a:pt x="14" y="307"/>
              </a:lnTo>
              <a:lnTo>
                <a:pt x="16" y="313"/>
              </a:lnTo>
              <a:lnTo>
                <a:pt x="15" y="318"/>
              </a:lnTo>
              <a:lnTo>
                <a:pt x="13" y="325"/>
              </a:lnTo>
              <a:lnTo>
                <a:pt x="14" y="330"/>
              </a:lnTo>
              <a:lnTo>
                <a:pt x="18" y="331"/>
              </a:lnTo>
              <a:lnTo>
                <a:pt x="22" y="335"/>
              </a:lnTo>
              <a:lnTo>
                <a:pt x="23" y="341"/>
              </a:lnTo>
              <a:lnTo>
                <a:pt x="23" y="349"/>
              </a:lnTo>
              <a:lnTo>
                <a:pt x="18" y="353"/>
              </a:lnTo>
              <a:lnTo>
                <a:pt x="17" y="358"/>
              </a:lnTo>
              <a:lnTo>
                <a:pt x="13" y="357"/>
              </a:lnTo>
              <a:lnTo>
                <a:pt x="12" y="355"/>
              </a:lnTo>
              <a:lnTo>
                <a:pt x="10" y="357"/>
              </a:lnTo>
              <a:lnTo>
                <a:pt x="8" y="357"/>
              </a:lnTo>
              <a:lnTo>
                <a:pt x="8" y="357"/>
              </a:lnTo>
              <a:lnTo>
                <a:pt x="8" y="357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96B88E38-6ED5-4850-A4CC-B93EFF4C1A66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AZ
5335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327557</xdr:colOff>
      <xdr:row>7</xdr:row>
      <xdr:rowOff>760</xdr:rowOff>
    </xdr:from>
    <xdr:to>
      <xdr:col>4</xdr:col>
      <xdr:colOff>394177</xdr:colOff>
      <xdr:row>13</xdr:row>
      <xdr:rowOff>116776</xdr:rowOff>
    </xdr:to>
    <xdr:sp macro="" textlink="data!E24">
      <xdr:nvSpPr>
        <xdr:cNvPr id="178" name="ID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>
          <a:spLocks/>
        </xdr:cNvSpPr>
      </xdr:nvSpPr>
      <xdr:spPr bwMode="auto">
        <a:xfrm>
          <a:off x="2286986" y="1094064"/>
          <a:ext cx="719762" cy="1053135"/>
        </a:xfrm>
        <a:custGeom>
          <a:avLst/>
          <a:gdLst>
            <a:gd name="T0" fmla="*/ 76 w 305"/>
            <a:gd name="T1" fmla="*/ 610 h 656"/>
            <a:gd name="T2" fmla="*/ 158 w 305"/>
            <a:gd name="T3" fmla="*/ 630 h 656"/>
            <a:gd name="T4" fmla="*/ 281 w 305"/>
            <a:gd name="T5" fmla="*/ 656 h 656"/>
            <a:gd name="T6" fmla="*/ 301 w 305"/>
            <a:gd name="T7" fmla="*/ 437 h 656"/>
            <a:gd name="T8" fmla="*/ 295 w 305"/>
            <a:gd name="T9" fmla="*/ 421 h 656"/>
            <a:gd name="T10" fmla="*/ 285 w 305"/>
            <a:gd name="T11" fmla="*/ 430 h 656"/>
            <a:gd name="T12" fmla="*/ 277 w 305"/>
            <a:gd name="T13" fmla="*/ 430 h 656"/>
            <a:gd name="T14" fmla="*/ 268 w 305"/>
            <a:gd name="T15" fmla="*/ 429 h 656"/>
            <a:gd name="T16" fmla="*/ 252 w 305"/>
            <a:gd name="T17" fmla="*/ 425 h 656"/>
            <a:gd name="T18" fmla="*/ 245 w 305"/>
            <a:gd name="T19" fmla="*/ 430 h 656"/>
            <a:gd name="T20" fmla="*/ 237 w 305"/>
            <a:gd name="T21" fmla="*/ 429 h 656"/>
            <a:gd name="T22" fmla="*/ 225 w 305"/>
            <a:gd name="T23" fmla="*/ 429 h 656"/>
            <a:gd name="T24" fmla="*/ 222 w 305"/>
            <a:gd name="T25" fmla="*/ 436 h 656"/>
            <a:gd name="T26" fmla="*/ 216 w 305"/>
            <a:gd name="T27" fmla="*/ 425 h 656"/>
            <a:gd name="T28" fmla="*/ 214 w 305"/>
            <a:gd name="T29" fmla="*/ 414 h 656"/>
            <a:gd name="T30" fmla="*/ 213 w 305"/>
            <a:gd name="T31" fmla="*/ 398 h 656"/>
            <a:gd name="T32" fmla="*/ 204 w 305"/>
            <a:gd name="T33" fmla="*/ 396 h 656"/>
            <a:gd name="T34" fmla="*/ 200 w 305"/>
            <a:gd name="T35" fmla="*/ 384 h 656"/>
            <a:gd name="T36" fmla="*/ 201 w 305"/>
            <a:gd name="T37" fmla="*/ 372 h 656"/>
            <a:gd name="T38" fmla="*/ 197 w 305"/>
            <a:gd name="T39" fmla="*/ 360 h 656"/>
            <a:gd name="T40" fmla="*/ 192 w 305"/>
            <a:gd name="T41" fmla="*/ 334 h 656"/>
            <a:gd name="T42" fmla="*/ 188 w 305"/>
            <a:gd name="T43" fmla="*/ 317 h 656"/>
            <a:gd name="T44" fmla="*/ 171 w 305"/>
            <a:gd name="T45" fmla="*/ 325 h 656"/>
            <a:gd name="T46" fmla="*/ 163 w 305"/>
            <a:gd name="T47" fmla="*/ 318 h 656"/>
            <a:gd name="T48" fmla="*/ 159 w 305"/>
            <a:gd name="T49" fmla="*/ 310 h 656"/>
            <a:gd name="T50" fmla="*/ 161 w 305"/>
            <a:gd name="T51" fmla="*/ 300 h 656"/>
            <a:gd name="T52" fmla="*/ 168 w 305"/>
            <a:gd name="T53" fmla="*/ 293 h 656"/>
            <a:gd name="T54" fmla="*/ 167 w 305"/>
            <a:gd name="T55" fmla="*/ 277 h 656"/>
            <a:gd name="T56" fmla="*/ 168 w 305"/>
            <a:gd name="T57" fmla="*/ 265 h 656"/>
            <a:gd name="T58" fmla="*/ 172 w 305"/>
            <a:gd name="T59" fmla="*/ 254 h 656"/>
            <a:gd name="T60" fmla="*/ 181 w 305"/>
            <a:gd name="T61" fmla="*/ 226 h 656"/>
            <a:gd name="T62" fmla="*/ 171 w 305"/>
            <a:gd name="T63" fmla="*/ 225 h 656"/>
            <a:gd name="T64" fmla="*/ 168 w 305"/>
            <a:gd name="T65" fmla="*/ 217 h 656"/>
            <a:gd name="T66" fmla="*/ 162 w 305"/>
            <a:gd name="T67" fmla="*/ 210 h 656"/>
            <a:gd name="T68" fmla="*/ 157 w 305"/>
            <a:gd name="T69" fmla="*/ 200 h 656"/>
            <a:gd name="T70" fmla="*/ 155 w 305"/>
            <a:gd name="T71" fmla="*/ 192 h 656"/>
            <a:gd name="T72" fmla="*/ 148 w 305"/>
            <a:gd name="T73" fmla="*/ 176 h 656"/>
            <a:gd name="T74" fmla="*/ 144 w 305"/>
            <a:gd name="T75" fmla="*/ 165 h 656"/>
            <a:gd name="T76" fmla="*/ 136 w 305"/>
            <a:gd name="T77" fmla="*/ 155 h 656"/>
            <a:gd name="T78" fmla="*/ 134 w 305"/>
            <a:gd name="T79" fmla="*/ 143 h 656"/>
            <a:gd name="T80" fmla="*/ 133 w 305"/>
            <a:gd name="T81" fmla="*/ 132 h 656"/>
            <a:gd name="T82" fmla="*/ 129 w 305"/>
            <a:gd name="T83" fmla="*/ 115 h 656"/>
            <a:gd name="T84" fmla="*/ 122 w 305"/>
            <a:gd name="T85" fmla="*/ 96 h 656"/>
            <a:gd name="T86" fmla="*/ 135 w 305"/>
            <a:gd name="T87" fmla="*/ 11 h 656"/>
            <a:gd name="T88" fmla="*/ 93 w 305"/>
            <a:gd name="T89" fmla="*/ 0 h 656"/>
            <a:gd name="T90" fmla="*/ 61 w 305"/>
            <a:gd name="T91" fmla="*/ 196 h 656"/>
            <a:gd name="T92" fmla="*/ 58 w 305"/>
            <a:gd name="T93" fmla="*/ 218 h 656"/>
            <a:gd name="T94" fmla="*/ 59 w 305"/>
            <a:gd name="T95" fmla="*/ 246 h 656"/>
            <a:gd name="T96" fmla="*/ 61 w 305"/>
            <a:gd name="T97" fmla="*/ 260 h 656"/>
            <a:gd name="T98" fmla="*/ 64 w 305"/>
            <a:gd name="T99" fmla="*/ 269 h 656"/>
            <a:gd name="T100" fmla="*/ 74 w 305"/>
            <a:gd name="T101" fmla="*/ 290 h 656"/>
            <a:gd name="T102" fmla="*/ 62 w 305"/>
            <a:gd name="T103" fmla="*/ 309 h 656"/>
            <a:gd name="T104" fmla="*/ 48 w 305"/>
            <a:gd name="T105" fmla="*/ 337 h 656"/>
            <a:gd name="T106" fmla="*/ 46 w 305"/>
            <a:gd name="T107" fmla="*/ 348 h 656"/>
            <a:gd name="T108" fmla="*/ 35 w 305"/>
            <a:gd name="T109" fmla="*/ 358 h 656"/>
            <a:gd name="T110" fmla="*/ 26 w 305"/>
            <a:gd name="T111" fmla="*/ 374 h 656"/>
            <a:gd name="T112" fmla="*/ 25 w 305"/>
            <a:gd name="T113" fmla="*/ 396 h 656"/>
            <a:gd name="T114" fmla="*/ 33 w 305"/>
            <a:gd name="T115" fmla="*/ 401 h 656"/>
            <a:gd name="T116" fmla="*/ 32 w 305"/>
            <a:gd name="T117" fmla="*/ 412 h 656"/>
            <a:gd name="T118" fmla="*/ 28 w 305"/>
            <a:gd name="T119" fmla="*/ 430 h 656"/>
            <a:gd name="T120" fmla="*/ 24 w 305"/>
            <a:gd name="T121" fmla="*/ 436 h 656"/>
            <a:gd name="T122" fmla="*/ 0 w 305"/>
            <a:gd name="T123" fmla="*/ 589 h 6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05" h="656">
              <a:moveTo>
                <a:pt x="0" y="589"/>
              </a:moveTo>
              <a:lnTo>
                <a:pt x="76" y="610"/>
              </a:lnTo>
              <a:lnTo>
                <a:pt x="140" y="625"/>
              </a:lnTo>
              <a:lnTo>
                <a:pt x="158" y="630"/>
              </a:lnTo>
              <a:lnTo>
                <a:pt x="225" y="645"/>
              </a:lnTo>
              <a:lnTo>
                <a:pt x="281" y="656"/>
              </a:lnTo>
              <a:lnTo>
                <a:pt x="305" y="442"/>
              </a:lnTo>
              <a:lnTo>
                <a:pt x="301" y="437"/>
              </a:lnTo>
              <a:lnTo>
                <a:pt x="298" y="430"/>
              </a:lnTo>
              <a:lnTo>
                <a:pt x="295" y="421"/>
              </a:lnTo>
              <a:lnTo>
                <a:pt x="292" y="420"/>
              </a:lnTo>
              <a:lnTo>
                <a:pt x="285" y="430"/>
              </a:lnTo>
              <a:lnTo>
                <a:pt x="285" y="434"/>
              </a:lnTo>
              <a:lnTo>
                <a:pt x="277" y="430"/>
              </a:lnTo>
              <a:lnTo>
                <a:pt x="273" y="432"/>
              </a:lnTo>
              <a:lnTo>
                <a:pt x="268" y="429"/>
              </a:lnTo>
              <a:lnTo>
                <a:pt x="260" y="429"/>
              </a:lnTo>
              <a:lnTo>
                <a:pt x="252" y="425"/>
              </a:lnTo>
              <a:lnTo>
                <a:pt x="249" y="426"/>
              </a:lnTo>
              <a:lnTo>
                <a:pt x="245" y="430"/>
              </a:lnTo>
              <a:lnTo>
                <a:pt x="241" y="430"/>
              </a:lnTo>
              <a:lnTo>
                <a:pt x="237" y="429"/>
              </a:lnTo>
              <a:lnTo>
                <a:pt x="229" y="426"/>
              </a:lnTo>
              <a:lnTo>
                <a:pt x="225" y="429"/>
              </a:lnTo>
              <a:lnTo>
                <a:pt x="224" y="434"/>
              </a:lnTo>
              <a:lnTo>
                <a:pt x="222" y="436"/>
              </a:lnTo>
              <a:lnTo>
                <a:pt x="218" y="430"/>
              </a:lnTo>
              <a:lnTo>
                <a:pt x="216" y="425"/>
              </a:lnTo>
              <a:lnTo>
                <a:pt x="217" y="420"/>
              </a:lnTo>
              <a:lnTo>
                <a:pt x="214" y="414"/>
              </a:lnTo>
              <a:lnTo>
                <a:pt x="215" y="409"/>
              </a:lnTo>
              <a:lnTo>
                <a:pt x="213" y="398"/>
              </a:lnTo>
              <a:lnTo>
                <a:pt x="209" y="393"/>
              </a:lnTo>
              <a:lnTo>
                <a:pt x="204" y="396"/>
              </a:lnTo>
              <a:lnTo>
                <a:pt x="201" y="390"/>
              </a:lnTo>
              <a:lnTo>
                <a:pt x="200" y="384"/>
              </a:lnTo>
              <a:lnTo>
                <a:pt x="202" y="377"/>
              </a:lnTo>
              <a:lnTo>
                <a:pt x="201" y="372"/>
              </a:lnTo>
              <a:lnTo>
                <a:pt x="200" y="365"/>
              </a:lnTo>
              <a:lnTo>
                <a:pt x="197" y="360"/>
              </a:lnTo>
              <a:lnTo>
                <a:pt x="194" y="349"/>
              </a:lnTo>
              <a:lnTo>
                <a:pt x="192" y="334"/>
              </a:lnTo>
              <a:lnTo>
                <a:pt x="192" y="322"/>
              </a:lnTo>
              <a:lnTo>
                <a:pt x="188" y="317"/>
              </a:lnTo>
              <a:lnTo>
                <a:pt x="187" y="313"/>
              </a:lnTo>
              <a:lnTo>
                <a:pt x="171" y="325"/>
              </a:lnTo>
              <a:lnTo>
                <a:pt x="167" y="326"/>
              </a:lnTo>
              <a:lnTo>
                <a:pt x="163" y="318"/>
              </a:lnTo>
              <a:lnTo>
                <a:pt x="158" y="317"/>
              </a:lnTo>
              <a:lnTo>
                <a:pt x="159" y="310"/>
              </a:lnTo>
              <a:lnTo>
                <a:pt x="162" y="305"/>
              </a:lnTo>
              <a:lnTo>
                <a:pt x="161" y="300"/>
              </a:lnTo>
              <a:lnTo>
                <a:pt x="164" y="294"/>
              </a:lnTo>
              <a:lnTo>
                <a:pt x="168" y="293"/>
              </a:lnTo>
              <a:lnTo>
                <a:pt x="169" y="282"/>
              </a:lnTo>
              <a:lnTo>
                <a:pt x="167" y="277"/>
              </a:lnTo>
              <a:lnTo>
                <a:pt x="169" y="270"/>
              </a:lnTo>
              <a:lnTo>
                <a:pt x="168" y="265"/>
              </a:lnTo>
              <a:lnTo>
                <a:pt x="171" y="260"/>
              </a:lnTo>
              <a:lnTo>
                <a:pt x="172" y="254"/>
              </a:lnTo>
              <a:lnTo>
                <a:pt x="176" y="244"/>
              </a:lnTo>
              <a:lnTo>
                <a:pt x="181" y="226"/>
              </a:lnTo>
              <a:lnTo>
                <a:pt x="177" y="225"/>
              </a:lnTo>
              <a:lnTo>
                <a:pt x="171" y="225"/>
              </a:lnTo>
              <a:lnTo>
                <a:pt x="167" y="222"/>
              </a:lnTo>
              <a:lnTo>
                <a:pt x="168" y="217"/>
              </a:lnTo>
              <a:lnTo>
                <a:pt x="164" y="217"/>
              </a:lnTo>
              <a:lnTo>
                <a:pt x="162" y="210"/>
              </a:lnTo>
              <a:lnTo>
                <a:pt x="158" y="206"/>
              </a:lnTo>
              <a:lnTo>
                <a:pt x="157" y="200"/>
              </a:lnTo>
              <a:lnTo>
                <a:pt x="158" y="197"/>
              </a:lnTo>
              <a:lnTo>
                <a:pt x="155" y="192"/>
              </a:lnTo>
              <a:lnTo>
                <a:pt x="150" y="181"/>
              </a:lnTo>
              <a:lnTo>
                <a:pt x="148" y="176"/>
              </a:lnTo>
              <a:lnTo>
                <a:pt x="145" y="171"/>
              </a:lnTo>
              <a:lnTo>
                <a:pt x="144" y="165"/>
              </a:lnTo>
              <a:lnTo>
                <a:pt x="138" y="160"/>
              </a:lnTo>
              <a:lnTo>
                <a:pt x="136" y="155"/>
              </a:lnTo>
              <a:lnTo>
                <a:pt x="129" y="144"/>
              </a:lnTo>
              <a:lnTo>
                <a:pt x="134" y="143"/>
              </a:lnTo>
              <a:lnTo>
                <a:pt x="131" y="137"/>
              </a:lnTo>
              <a:lnTo>
                <a:pt x="133" y="132"/>
              </a:lnTo>
              <a:lnTo>
                <a:pt x="132" y="125"/>
              </a:lnTo>
              <a:lnTo>
                <a:pt x="129" y="115"/>
              </a:lnTo>
              <a:lnTo>
                <a:pt x="129" y="112"/>
              </a:lnTo>
              <a:lnTo>
                <a:pt x="122" y="96"/>
              </a:lnTo>
              <a:lnTo>
                <a:pt x="134" y="13"/>
              </a:lnTo>
              <a:lnTo>
                <a:pt x="135" y="11"/>
              </a:lnTo>
              <a:lnTo>
                <a:pt x="125" y="8"/>
              </a:lnTo>
              <a:lnTo>
                <a:pt x="93" y="0"/>
              </a:lnTo>
              <a:lnTo>
                <a:pt x="93" y="3"/>
              </a:lnTo>
              <a:lnTo>
                <a:pt x="61" y="196"/>
              </a:lnTo>
              <a:lnTo>
                <a:pt x="60" y="213"/>
              </a:lnTo>
              <a:lnTo>
                <a:pt x="58" y="218"/>
              </a:lnTo>
              <a:lnTo>
                <a:pt x="61" y="230"/>
              </a:lnTo>
              <a:lnTo>
                <a:pt x="59" y="246"/>
              </a:lnTo>
              <a:lnTo>
                <a:pt x="60" y="252"/>
              </a:lnTo>
              <a:lnTo>
                <a:pt x="61" y="260"/>
              </a:lnTo>
              <a:lnTo>
                <a:pt x="63" y="265"/>
              </a:lnTo>
              <a:lnTo>
                <a:pt x="64" y="269"/>
              </a:lnTo>
              <a:lnTo>
                <a:pt x="72" y="278"/>
              </a:lnTo>
              <a:lnTo>
                <a:pt x="74" y="290"/>
              </a:lnTo>
              <a:lnTo>
                <a:pt x="71" y="296"/>
              </a:lnTo>
              <a:lnTo>
                <a:pt x="62" y="309"/>
              </a:lnTo>
              <a:lnTo>
                <a:pt x="56" y="326"/>
              </a:lnTo>
              <a:lnTo>
                <a:pt x="48" y="337"/>
              </a:lnTo>
              <a:lnTo>
                <a:pt x="48" y="342"/>
              </a:lnTo>
              <a:lnTo>
                <a:pt x="46" y="348"/>
              </a:lnTo>
              <a:lnTo>
                <a:pt x="42" y="353"/>
              </a:lnTo>
              <a:lnTo>
                <a:pt x="35" y="358"/>
              </a:lnTo>
              <a:lnTo>
                <a:pt x="30" y="369"/>
              </a:lnTo>
              <a:lnTo>
                <a:pt x="26" y="374"/>
              </a:lnTo>
              <a:lnTo>
                <a:pt x="23" y="392"/>
              </a:lnTo>
              <a:lnTo>
                <a:pt x="25" y="396"/>
              </a:lnTo>
              <a:lnTo>
                <a:pt x="29" y="397"/>
              </a:lnTo>
              <a:lnTo>
                <a:pt x="33" y="401"/>
              </a:lnTo>
              <a:lnTo>
                <a:pt x="35" y="406"/>
              </a:lnTo>
              <a:lnTo>
                <a:pt x="32" y="412"/>
              </a:lnTo>
              <a:lnTo>
                <a:pt x="32" y="420"/>
              </a:lnTo>
              <a:lnTo>
                <a:pt x="28" y="430"/>
              </a:lnTo>
              <a:lnTo>
                <a:pt x="26" y="432"/>
              </a:lnTo>
              <a:lnTo>
                <a:pt x="24" y="436"/>
              </a:lnTo>
              <a:lnTo>
                <a:pt x="0" y="589"/>
              </a:lnTo>
              <a:lnTo>
                <a:pt x="0" y="589"/>
              </a:lnTo>
              <a:lnTo>
                <a:pt x="0" y="589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0D545D84-213A-475D-BAC7-0818A35BA680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ID
6624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529826</xdr:colOff>
      <xdr:row>13</xdr:row>
      <xdr:rowOff>65741</xdr:rowOff>
    </xdr:from>
    <xdr:to>
      <xdr:col>4</xdr:col>
      <xdr:colOff>532651</xdr:colOff>
      <xdr:row>18</xdr:row>
      <xdr:rowOff>59924</xdr:rowOff>
    </xdr:to>
    <xdr:sp macro="" textlink="data!E56">
      <xdr:nvSpPr>
        <xdr:cNvPr id="179" name="UT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>
          <a:spLocks/>
        </xdr:cNvSpPr>
      </xdr:nvSpPr>
      <xdr:spPr bwMode="auto">
        <a:xfrm>
          <a:off x="2489255" y="2117698"/>
          <a:ext cx="655967" cy="783397"/>
        </a:xfrm>
        <a:custGeom>
          <a:avLst/>
          <a:gdLst>
            <a:gd name="T0" fmla="*/ 0 w 285"/>
            <a:gd name="T1" fmla="*/ 428 h 480"/>
            <a:gd name="T2" fmla="*/ 46 w 285"/>
            <a:gd name="T3" fmla="*/ 438 h 480"/>
            <a:gd name="T4" fmla="*/ 115 w 285"/>
            <a:gd name="T5" fmla="*/ 454 h 480"/>
            <a:gd name="T6" fmla="*/ 183 w 285"/>
            <a:gd name="T7" fmla="*/ 468 h 480"/>
            <a:gd name="T8" fmla="*/ 252 w 285"/>
            <a:gd name="T9" fmla="*/ 480 h 480"/>
            <a:gd name="T10" fmla="*/ 285 w 285"/>
            <a:gd name="T11" fmla="*/ 134 h 480"/>
            <a:gd name="T12" fmla="*/ 189 w 285"/>
            <a:gd name="T13" fmla="*/ 117 h 480"/>
            <a:gd name="T14" fmla="*/ 198 w 285"/>
            <a:gd name="T15" fmla="*/ 31 h 480"/>
            <a:gd name="T16" fmla="*/ 142 w 285"/>
            <a:gd name="T17" fmla="*/ 20 h 480"/>
            <a:gd name="T18" fmla="*/ 75 w 285"/>
            <a:gd name="T19" fmla="*/ 5 h 480"/>
            <a:gd name="T20" fmla="*/ 57 w 285"/>
            <a:gd name="T21" fmla="*/ 0 h 480"/>
            <a:gd name="T22" fmla="*/ 0 w 285"/>
            <a:gd name="T23" fmla="*/ 428 h 480"/>
            <a:gd name="T24" fmla="*/ 0 w 285"/>
            <a:gd name="T25" fmla="*/ 428 h 480"/>
            <a:gd name="T26" fmla="*/ 0 w 285"/>
            <a:gd name="T27" fmla="*/ 428 h 48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</a:cxnLst>
          <a:rect l="0" t="0" r="r" b="b"/>
          <a:pathLst>
            <a:path w="285" h="480">
              <a:moveTo>
                <a:pt x="0" y="428"/>
              </a:moveTo>
              <a:lnTo>
                <a:pt x="46" y="438"/>
              </a:lnTo>
              <a:lnTo>
                <a:pt x="115" y="454"/>
              </a:lnTo>
              <a:lnTo>
                <a:pt x="183" y="468"/>
              </a:lnTo>
              <a:lnTo>
                <a:pt x="252" y="480"/>
              </a:lnTo>
              <a:lnTo>
                <a:pt x="285" y="134"/>
              </a:lnTo>
              <a:lnTo>
                <a:pt x="189" y="117"/>
              </a:lnTo>
              <a:lnTo>
                <a:pt x="198" y="31"/>
              </a:lnTo>
              <a:lnTo>
                <a:pt x="142" y="20"/>
              </a:lnTo>
              <a:lnTo>
                <a:pt x="75" y="5"/>
              </a:lnTo>
              <a:lnTo>
                <a:pt x="57" y="0"/>
              </a:lnTo>
              <a:lnTo>
                <a:pt x="0" y="428"/>
              </a:lnTo>
              <a:lnTo>
                <a:pt x="0" y="428"/>
              </a:lnTo>
              <a:lnTo>
                <a:pt x="0" y="428"/>
              </a:lnTo>
              <a:close/>
            </a:path>
          </a:pathLst>
        </a:custGeom>
        <a:solidFill>
          <a:srgbClr val="FC8D59"/>
        </a:solidFill>
        <a:ln w="9525" cap="flat" cmpd="sng">
          <a:solidFill>
            <a:srgbClr val="FFFF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wrap="none" anchor="ctr"/>
        <a:lstStyle/>
        <a:p>
          <a:pPr algn="ctr"/>
          <a:fld id="{F54018F6-5A49-42E2-9AE9-F6E3939F2E18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UT
7040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595494</xdr:colOff>
      <xdr:row>7</xdr:row>
      <xdr:rowOff>8075</xdr:rowOff>
    </xdr:from>
    <xdr:to>
      <xdr:col>5</xdr:col>
      <xdr:colOff>524592</xdr:colOff>
      <xdr:row>11</xdr:row>
      <xdr:rowOff>87630</xdr:rowOff>
    </xdr:to>
    <xdr:sp macro="" textlink="data!E37">
      <xdr:nvSpPr>
        <xdr:cNvPr id="180" name="MT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>
          <a:spLocks/>
        </xdr:cNvSpPr>
      </xdr:nvSpPr>
      <xdr:spPr bwMode="auto">
        <a:xfrm>
          <a:off x="3033894" y="1141550"/>
          <a:ext cx="1148298" cy="727255"/>
        </a:xfrm>
        <a:custGeom>
          <a:avLst/>
          <a:gdLst>
            <a:gd name="T0" fmla="*/ 12 w 525"/>
            <a:gd name="T1" fmla="*/ 132 h 435"/>
            <a:gd name="T2" fmla="*/ 14 w 525"/>
            <a:gd name="T3" fmla="*/ 144 h 435"/>
            <a:gd name="T4" fmla="*/ 22 w 525"/>
            <a:gd name="T5" fmla="*/ 154 h 435"/>
            <a:gd name="T6" fmla="*/ 26 w 525"/>
            <a:gd name="T7" fmla="*/ 165 h 435"/>
            <a:gd name="T8" fmla="*/ 33 w 525"/>
            <a:gd name="T9" fmla="*/ 181 h 435"/>
            <a:gd name="T10" fmla="*/ 35 w 525"/>
            <a:gd name="T11" fmla="*/ 189 h 435"/>
            <a:gd name="T12" fmla="*/ 40 w 525"/>
            <a:gd name="T13" fmla="*/ 199 h 435"/>
            <a:gd name="T14" fmla="*/ 46 w 525"/>
            <a:gd name="T15" fmla="*/ 206 h 435"/>
            <a:gd name="T16" fmla="*/ 49 w 525"/>
            <a:gd name="T17" fmla="*/ 214 h 435"/>
            <a:gd name="T18" fmla="*/ 59 w 525"/>
            <a:gd name="T19" fmla="*/ 215 h 435"/>
            <a:gd name="T20" fmla="*/ 50 w 525"/>
            <a:gd name="T21" fmla="*/ 243 h 435"/>
            <a:gd name="T22" fmla="*/ 46 w 525"/>
            <a:gd name="T23" fmla="*/ 254 h 435"/>
            <a:gd name="T24" fmla="*/ 45 w 525"/>
            <a:gd name="T25" fmla="*/ 266 h 435"/>
            <a:gd name="T26" fmla="*/ 46 w 525"/>
            <a:gd name="T27" fmla="*/ 282 h 435"/>
            <a:gd name="T28" fmla="*/ 39 w 525"/>
            <a:gd name="T29" fmla="*/ 289 h 435"/>
            <a:gd name="T30" fmla="*/ 37 w 525"/>
            <a:gd name="T31" fmla="*/ 299 h 435"/>
            <a:gd name="T32" fmla="*/ 41 w 525"/>
            <a:gd name="T33" fmla="*/ 307 h 435"/>
            <a:gd name="T34" fmla="*/ 49 w 525"/>
            <a:gd name="T35" fmla="*/ 314 h 435"/>
            <a:gd name="T36" fmla="*/ 66 w 525"/>
            <a:gd name="T37" fmla="*/ 306 h 435"/>
            <a:gd name="T38" fmla="*/ 70 w 525"/>
            <a:gd name="T39" fmla="*/ 323 h 435"/>
            <a:gd name="T40" fmla="*/ 75 w 525"/>
            <a:gd name="T41" fmla="*/ 349 h 435"/>
            <a:gd name="T42" fmla="*/ 79 w 525"/>
            <a:gd name="T43" fmla="*/ 361 h 435"/>
            <a:gd name="T44" fmla="*/ 78 w 525"/>
            <a:gd name="T45" fmla="*/ 373 h 435"/>
            <a:gd name="T46" fmla="*/ 82 w 525"/>
            <a:gd name="T47" fmla="*/ 385 h 435"/>
            <a:gd name="T48" fmla="*/ 91 w 525"/>
            <a:gd name="T49" fmla="*/ 387 h 435"/>
            <a:gd name="T50" fmla="*/ 92 w 525"/>
            <a:gd name="T51" fmla="*/ 403 h 435"/>
            <a:gd name="T52" fmla="*/ 94 w 525"/>
            <a:gd name="T53" fmla="*/ 414 h 435"/>
            <a:gd name="T54" fmla="*/ 100 w 525"/>
            <a:gd name="T55" fmla="*/ 425 h 435"/>
            <a:gd name="T56" fmla="*/ 103 w 525"/>
            <a:gd name="T57" fmla="*/ 418 h 435"/>
            <a:gd name="T58" fmla="*/ 115 w 525"/>
            <a:gd name="T59" fmla="*/ 418 h 435"/>
            <a:gd name="T60" fmla="*/ 123 w 525"/>
            <a:gd name="T61" fmla="*/ 419 h 435"/>
            <a:gd name="T62" fmla="*/ 130 w 525"/>
            <a:gd name="T63" fmla="*/ 414 h 435"/>
            <a:gd name="T64" fmla="*/ 146 w 525"/>
            <a:gd name="T65" fmla="*/ 418 h 435"/>
            <a:gd name="T66" fmla="*/ 155 w 525"/>
            <a:gd name="T67" fmla="*/ 419 h 435"/>
            <a:gd name="T68" fmla="*/ 163 w 525"/>
            <a:gd name="T69" fmla="*/ 419 h 435"/>
            <a:gd name="T70" fmla="*/ 173 w 525"/>
            <a:gd name="T71" fmla="*/ 410 h 435"/>
            <a:gd name="T72" fmla="*/ 179 w 525"/>
            <a:gd name="T73" fmla="*/ 426 h 435"/>
            <a:gd name="T74" fmla="*/ 187 w 525"/>
            <a:gd name="T75" fmla="*/ 393 h 435"/>
            <a:gd name="T76" fmla="*/ 274 w 525"/>
            <a:gd name="T77" fmla="*/ 405 h 435"/>
            <a:gd name="T78" fmla="*/ 445 w 525"/>
            <a:gd name="T79" fmla="*/ 429 h 435"/>
            <a:gd name="T80" fmla="*/ 508 w 525"/>
            <a:gd name="T81" fmla="*/ 429 h 435"/>
            <a:gd name="T82" fmla="*/ 525 w 525"/>
            <a:gd name="T83" fmla="*/ 96 h 435"/>
            <a:gd name="T84" fmla="*/ 494 w 525"/>
            <a:gd name="T85" fmla="*/ 90 h 435"/>
            <a:gd name="T86" fmla="*/ 345 w 525"/>
            <a:gd name="T87" fmla="*/ 70 h 435"/>
            <a:gd name="T88" fmla="*/ 185 w 525"/>
            <a:gd name="T89" fmla="*/ 41 h 435"/>
            <a:gd name="T90" fmla="*/ 13 w 525"/>
            <a:gd name="T91" fmla="*/ 0 h 435"/>
            <a:gd name="T92" fmla="*/ 0 w 525"/>
            <a:gd name="T93" fmla="*/ 85 h 435"/>
            <a:gd name="T94" fmla="*/ 7 w 525"/>
            <a:gd name="T95" fmla="*/ 104 h 435"/>
            <a:gd name="T96" fmla="*/ 11 w 525"/>
            <a:gd name="T97" fmla="*/ 121 h 435"/>
            <a:gd name="T98" fmla="*/ 9 w 525"/>
            <a:gd name="T99" fmla="*/ 126 h 4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</a:cxnLst>
          <a:rect l="0" t="0" r="r" b="b"/>
          <a:pathLst>
            <a:path w="525" h="435">
              <a:moveTo>
                <a:pt x="9" y="126"/>
              </a:moveTo>
              <a:lnTo>
                <a:pt x="12" y="132"/>
              </a:lnTo>
              <a:lnTo>
                <a:pt x="7" y="133"/>
              </a:lnTo>
              <a:lnTo>
                <a:pt x="14" y="144"/>
              </a:lnTo>
              <a:lnTo>
                <a:pt x="16" y="149"/>
              </a:lnTo>
              <a:lnTo>
                <a:pt x="22" y="154"/>
              </a:lnTo>
              <a:lnTo>
                <a:pt x="23" y="160"/>
              </a:lnTo>
              <a:lnTo>
                <a:pt x="26" y="165"/>
              </a:lnTo>
              <a:lnTo>
                <a:pt x="28" y="170"/>
              </a:lnTo>
              <a:lnTo>
                <a:pt x="33" y="181"/>
              </a:lnTo>
              <a:lnTo>
                <a:pt x="36" y="186"/>
              </a:lnTo>
              <a:lnTo>
                <a:pt x="35" y="189"/>
              </a:lnTo>
              <a:lnTo>
                <a:pt x="36" y="195"/>
              </a:lnTo>
              <a:lnTo>
                <a:pt x="40" y="199"/>
              </a:lnTo>
              <a:lnTo>
                <a:pt x="42" y="206"/>
              </a:lnTo>
              <a:lnTo>
                <a:pt x="46" y="206"/>
              </a:lnTo>
              <a:lnTo>
                <a:pt x="45" y="211"/>
              </a:lnTo>
              <a:lnTo>
                <a:pt x="49" y="214"/>
              </a:lnTo>
              <a:lnTo>
                <a:pt x="55" y="214"/>
              </a:lnTo>
              <a:lnTo>
                <a:pt x="59" y="215"/>
              </a:lnTo>
              <a:lnTo>
                <a:pt x="54" y="233"/>
              </a:lnTo>
              <a:lnTo>
                <a:pt x="50" y="243"/>
              </a:lnTo>
              <a:lnTo>
                <a:pt x="49" y="249"/>
              </a:lnTo>
              <a:lnTo>
                <a:pt x="46" y="254"/>
              </a:lnTo>
              <a:lnTo>
                <a:pt x="47" y="259"/>
              </a:lnTo>
              <a:lnTo>
                <a:pt x="45" y="266"/>
              </a:lnTo>
              <a:lnTo>
                <a:pt x="47" y="271"/>
              </a:lnTo>
              <a:lnTo>
                <a:pt x="46" y="282"/>
              </a:lnTo>
              <a:lnTo>
                <a:pt x="42" y="283"/>
              </a:lnTo>
              <a:lnTo>
                <a:pt x="39" y="289"/>
              </a:lnTo>
              <a:lnTo>
                <a:pt x="40" y="294"/>
              </a:lnTo>
              <a:lnTo>
                <a:pt x="37" y="299"/>
              </a:lnTo>
              <a:lnTo>
                <a:pt x="36" y="306"/>
              </a:lnTo>
              <a:lnTo>
                <a:pt x="41" y="307"/>
              </a:lnTo>
              <a:lnTo>
                <a:pt x="45" y="315"/>
              </a:lnTo>
              <a:lnTo>
                <a:pt x="49" y="314"/>
              </a:lnTo>
              <a:lnTo>
                <a:pt x="65" y="302"/>
              </a:lnTo>
              <a:lnTo>
                <a:pt x="66" y="306"/>
              </a:lnTo>
              <a:lnTo>
                <a:pt x="70" y="311"/>
              </a:lnTo>
              <a:lnTo>
                <a:pt x="70" y="323"/>
              </a:lnTo>
              <a:lnTo>
                <a:pt x="72" y="338"/>
              </a:lnTo>
              <a:lnTo>
                <a:pt x="75" y="349"/>
              </a:lnTo>
              <a:lnTo>
                <a:pt x="78" y="354"/>
              </a:lnTo>
              <a:lnTo>
                <a:pt x="79" y="361"/>
              </a:lnTo>
              <a:lnTo>
                <a:pt x="80" y="366"/>
              </a:lnTo>
              <a:lnTo>
                <a:pt x="78" y="373"/>
              </a:lnTo>
              <a:lnTo>
                <a:pt x="79" y="379"/>
              </a:lnTo>
              <a:lnTo>
                <a:pt x="82" y="385"/>
              </a:lnTo>
              <a:lnTo>
                <a:pt x="87" y="382"/>
              </a:lnTo>
              <a:lnTo>
                <a:pt x="91" y="387"/>
              </a:lnTo>
              <a:lnTo>
                <a:pt x="93" y="398"/>
              </a:lnTo>
              <a:lnTo>
                <a:pt x="92" y="403"/>
              </a:lnTo>
              <a:lnTo>
                <a:pt x="95" y="409"/>
              </a:lnTo>
              <a:lnTo>
                <a:pt x="94" y="414"/>
              </a:lnTo>
              <a:lnTo>
                <a:pt x="96" y="419"/>
              </a:lnTo>
              <a:lnTo>
                <a:pt x="100" y="425"/>
              </a:lnTo>
              <a:lnTo>
                <a:pt x="102" y="423"/>
              </a:lnTo>
              <a:lnTo>
                <a:pt x="103" y="418"/>
              </a:lnTo>
              <a:lnTo>
                <a:pt x="107" y="415"/>
              </a:lnTo>
              <a:lnTo>
                <a:pt x="115" y="418"/>
              </a:lnTo>
              <a:lnTo>
                <a:pt x="119" y="419"/>
              </a:lnTo>
              <a:lnTo>
                <a:pt x="123" y="419"/>
              </a:lnTo>
              <a:lnTo>
                <a:pt x="127" y="415"/>
              </a:lnTo>
              <a:lnTo>
                <a:pt x="130" y="414"/>
              </a:lnTo>
              <a:lnTo>
                <a:pt x="138" y="418"/>
              </a:lnTo>
              <a:lnTo>
                <a:pt x="146" y="418"/>
              </a:lnTo>
              <a:lnTo>
                <a:pt x="151" y="421"/>
              </a:lnTo>
              <a:lnTo>
                <a:pt x="155" y="419"/>
              </a:lnTo>
              <a:lnTo>
                <a:pt x="163" y="423"/>
              </a:lnTo>
              <a:lnTo>
                <a:pt x="163" y="419"/>
              </a:lnTo>
              <a:lnTo>
                <a:pt x="170" y="409"/>
              </a:lnTo>
              <a:lnTo>
                <a:pt x="173" y="410"/>
              </a:lnTo>
              <a:lnTo>
                <a:pt x="176" y="419"/>
              </a:lnTo>
              <a:lnTo>
                <a:pt x="179" y="426"/>
              </a:lnTo>
              <a:lnTo>
                <a:pt x="183" y="431"/>
              </a:lnTo>
              <a:lnTo>
                <a:pt x="187" y="393"/>
              </a:lnTo>
              <a:lnTo>
                <a:pt x="191" y="389"/>
              </a:lnTo>
              <a:lnTo>
                <a:pt x="274" y="405"/>
              </a:lnTo>
              <a:lnTo>
                <a:pt x="355" y="417"/>
              </a:lnTo>
              <a:lnTo>
                <a:pt x="445" y="429"/>
              </a:lnTo>
              <a:lnTo>
                <a:pt x="506" y="435"/>
              </a:lnTo>
              <a:lnTo>
                <a:pt x="508" y="429"/>
              </a:lnTo>
              <a:lnTo>
                <a:pt x="512" y="354"/>
              </a:lnTo>
              <a:lnTo>
                <a:pt x="525" y="96"/>
              </a:lnTo>
              <a:lnTo>
                <a:pt x="525" y="94"/>
              </a:lnTo>
              <a:lnTo>
                <a:pt x="494" y="90"/>
              </a:lnTo>
              <a:lnTo>
                <a:pt x="411" y="81"/>
              </a:lnTo>
              <a:lnTo>
                <a:pt x="345" y="70"/>
              </a:lnTo>
              <a:lnTo>
                <a:pt x="282" y="60"/>
              </a:lnTo>
              <a:lnTo>
                <a:pt x="185" y="41"/>
              </a:lnTo>
              <a:lnTo>
                <a:pt x="75" y="17"/>
              </a:lnTo>
              <a:lnTo>
                <a:pt x="13" y="0"/>
              </a:lnTo>
              <a:lnTo>
                <a:pt x="12" y="2"/>
              </a:lnTo>
              <a:lnTo>
                <a:pt x="0" y="85"/>
              </a:lnTo>
              <a:lnTo>
                <a:pt x="7" y="101"/>
              </a:lnTo>
              <a:lnTo>
                <a:pt x="7" y="104"/>
              </a:lnTo>
              <a:lnTo>
                <a:pt x="10" y="114"/>
              </a:lnTo>
              <a:lnTo>
                <a:pt x="11" y="121"/>
              </a:lnTo>
              <a:lnTo>
                <a:pt x="9" y="126"/>
              </a:lnTo>
              <a:lnTo>
                <a:pt x="9" y="126"/>
              </a:lnTo>
              <a:lnTo>
                <a:pt x="9" y="126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CC03AF89-EE5D-4D4F-9DD7-020DC6CFC412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MT
6602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317624</xdr:colOff>
      <xdr:row>11</xdr:row>
      <xdr:rowOff>11078</xdr:rowOff>
    </xdr:from>
    <xdr:to>
      <xdr:col>5</xdr:col>
      <xdr:colOff>486315</xdr:colOff>
      <xdr:row>15</xdr:row>
      <xdr:rowOff>26839</xdr:rowOff>
    </xdr:to>
    <xdr:sp macro="" textlink="data!E63">
      <xdr:nvSpPr>
        <xdr:cNvPr id="181" name="WY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>
          <a:spLocks/>
        </xdr:cNvSpPr>
      </xdr:nvSpPr>
      <xdr:spPr bwMode="auto">
        <a:xfrm>
          <a:off x="3365624" y="1792253"/>
          <a:ext cx="778291" cy="663461"/>
        </a:xfrm>
        <a:custGeom>
          <a:avLst/>
          <a:gdLst>
            <a:gd name="T0" fmla="*/ 9 w 356"/>
            <a:gd name="T1" fmla="*/ 256 h 391"/>
            <a:gd name="T2" fmla="*/ 0 w 356"/>
            <a:gd name="T3" fmla="*/ 342 h 391"/>
            <a:gd name="T4" fmla="*/ 96 w 356"/>
            <a:gd name="T5" fmla="*/ 359 h 391"/>
            <a:gd name="T6" fmla="*/ 142 w 356"/>
            <a:gd name="T7" fmla="*/ 367 h 391"/>
            <a:gd name="T8" fmla="*/ 221 w 356"/>
            <a:gd name="T9" fmla="*/ 378 h 391"/>
            <a:gd name="T10" fmla="*/ 263 w 356"/>
            <a:gd name="T11" fmla="*/ 383 h 391"/>
            <a:gd name="T12" fmla="*/ 338 w 356"/>
            <a:gd name="T13" fmla="*/ 391 h 391"/>
            <a:gd name="T14" fmla="*/ 347 w 356"/>
            <a:gd name="T15" fmla="*/ 218 h 391"/>
            <a:gd name="T16" fmla="*/ 356 w 356"/>
            <a:gd name="T17" fmla="*/ 46 h 391"/>
            <a:gd name="T18" fmla="*/ 295 w 356"/>
            <a:gd name="T19" fmla="*/ 40 h 391"/>
            <a:gd name="T20" fmla="*/ 205 w 356"/>
            <a:gd name="T21" fmla="*/ 28 h 391"/>
            <a:gd name="T22" fmla="*/ 124 w 356"/>
            <a:gd name="T23" fmla="*/ 16 h 391"/>
            <a:gd name="T24" fmla="*/ 41 w 356"/>
            <a:gd name="T25" fmla="*/ 0 h 391"/>
            <a:gd name="T26" fmla="*/ 37 w 356"/>
            <a:gd name="T27" fmla="*/ 4 h 391"/>
            <a:gd name="T28" fmla="*/ 33 w 356"/>
            <a:gd name="T29" fmla="*/ 42 h 391"/>
            <a:gd name="T30" fmla="*/ 9 w 356"/>
            <a:gd name="T31" fmla="*/ 256 h 391"/>
            <a:gd name="T32" fmla="*/ 9 w 356"/>
            <a:gd name="T33" fmla="*/ 256 h 391"/>
            <a:gd name="T34" fmla="*/ 9 w 356"/>
            <a:gd name="T35" fmla="*/ 256 h 3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356" h="391">
              <a:moveTo>
                <a:pt x="9" y="256"/>
              </a:moveTo>
              <a:lnTo>
                <a:pt x="0" y="342"/>
              </a:lnTo>
              <a:lnTo>
                <a:pt x="96" y="359"/>
              </a:lnTo>
              <a:lnTo>
                <a:pt x="142" y="367"/>
              </a:lnTo>
              <a:lnTo>
                <a:pt x="221" y="378"/>
              </a:lnTo>
              <a:lnTo>
                <a:pt x="263" y="383"/>
              </a:lnTo>
              <a:lnTo>
                <a:pt x="338" y="391"/>
              </a:lnTo>
              <a:lnTo>
                <a:pt x="347" y="218"/>
              </a:lnTo>
              <a:lnTo>
                <a:pt x="356" y="46"/>
              </a:lnTo>
              <a:lnTo>
                <a:pt x="295" y="40"/>
              </a:lnTo>
              <a:lnTo>
                <a:pt x="205" y="28"/>
              </a:lnTo>
              <a:lnTo>
                <a:pt x="124" y="16"/>
              </a:lnTo>
              <a:lnTo>
                <a:pt x="41" y="0"/>
              </a:lnTo>
              <a:lnTo>
                <a:pt x="37" y="4"/>
              </a:lnTo>
              <a:lnTo>
                <a:pt x="33" y="42"/>
              </a:lnTo>
              <a:lnTo>
                <a:pt x="9" y="256"/>
              </a:lnTo>
              <a:lnTo>
                <a:pt x="9" y="256"/>
              </a:lnTo>
              <a:lnTo>
                <a:pt x="9" y="256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4029181F-BBBB-4428-9C4E-3F4DF9E19D12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WY
6558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366787</xdr:colOff>
      <xdr:row>18</xdr:row>
      <xdr:rowOff>59924</xdr:rowOff>
    </xdr:from>
    <xdr:to>
      <xdr:col>5</xdr:col>
      <xdr:colOff>535478</xdr:colOff>
      <xdr:row>23</xdr:row>
      <xdr:rowOff>71119</xdr:rowOff>
    </xdr:to>
    <xdr:sp macro="" textlink="data!E43">
      <xdr:nvSpPr>
        <xdr:cNvPr id="182" name="NM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>
          <a:spLocks/>
        </xdr:cNvSpPr>
      </xdr:nvSpPr>
      <xdr:spPr bwMode="auto">
        <a:xfrm>
          <a:off x="2979358" y="2901095"/>
          <a:ext cx="821834" cy="800410"/>
        </a:xfrm>
        <a:custGeom>
          <a:avLst/>
          <a:gdLst>
            <a:gd name="T0" fmla="*/ 0 w 354"/>
            <a:gd name="T1" fmla="*/ 486 h 493"/>
            <a:gd name="T2" fmla="*/ 42 w 354"/>
            <a:gd name="T3" fmla="*/ 493 h 493"/>
            <a:gd name="T4" fmla="*/ 46 w 354"/>
            <a:gd name="T5" fmla="*/ 491 h 493"/>
            <a:gd name="T6" fmla="*/ 49 w 354"/>
            <a:gd name="T7" fmla="*/ 462 h 493"/>
            <a:gd name="T8" fmla="*/ 51 w 354"/>
            <a:gd name="T9" fmla="*/ 455 h 493"/>
            <a:gd name="T10" fmla="*/ 139 w 354"/>
            <a:gd name="T11" fmla="*/ 469 h 493"/>
            <a:gd name="T12" fmla="*/ 140 w 354"/>
            <a:gd name="T13" fmla="*/ 469 h 493"/>
            <a:gd name="T14" fmla="*/ 140 w 354"/>
            <a:gd name="T15" fmla="*/ 466 h 493"/>
            <a:gd name="T16" fmla="*/ 137 w 354"/>
            <a:gd name="T17" fmla="*/ 462 h 493"/>
            <a:gd name="T18" fmla="*/ 135 w 354"/>
            <a:gd name="T19" fmla="*/ 451 h 493"/>
            <a:gd name="T20" fmla="*/ 135 w 354"/>
            <a:gd name="T21" fmla="*/ 449 h 493"/>
            <a:gd name="T22" fmla="*/ 176 w 354"/>
            <a:gd name="T23" fmla="*/ 454 h 493"/>
            <a:gd name="T24" fmla="*/ 230 w 354"/>
            <a:gd name="T25" fmla="*/ 461 h 493"/>
            <a:gd name="T26" fmla="*/ 277 w 354"/>
            <a:gd name="T27" fmla="*/ 466 h 493"/>
            <a:gd name="T28" fmla="*/ 325 w 354"/>
            <a:gd name="T29" fmla="*/ 470 h 493"/>
            <a:gd name="T30" fmla="*/ 327 w 354"/>
            <a:gd name="T31" fmla="*/ 470 h 493"/>
            <a:gd name="T32" fmla="*/ 331 w 354"/>
            <a:gd name="T33" fmla="*/ 465 h 493"/>
            <a:gd name="T34" fmla="*/ 335 w 354"/>
            <a:gd name="T35" fmla="*/ 375 h 493"/>
            <a:gd name="T36" fmla="*/ 340 w 354"/>
            <a:gd name="T37" fmla="*/ 297 h 493"/>
            <a:gd name="T38" fmla="*/ 350 w 354"/>
            <a:gd name="T39" fmla="*/ 88 h 493"/>
            <a:gd name="T40" fmla="*/ 350 w 354"/>
            <a:gd name="T41" fmla="*/ 82 h 493"/>
            <a:gd name="T42" fmla="*/ 353 w 354"/>
            <a:gd name="T43" fmla="*/ 81 h 493"/>
            <a:gd name="T44" fmla="*/ 354 w 354"/>
            <a:gd name="T45" fmla="*/ 37 h 493"/>
            <a:gd name="T46" fmla="*/ 297 w 354"/>
            <a:gd name="T47" fmla="*/ 33 h 493"/>
            <a:gd name="T48" fmla="*/ 206 w 354"/>
            <a:gd name="T49" fmla="*/ 22 h 493"/>
            <a:gd name="T50" fmla="*/ 131 w 354"/>
            <a:gd name="T51" fmla="*/ 13 h 493"/>
            <a:gd name="T52" fmla="*/ 46 w 354"/>
            <a:gd name="T53" fmla="*/ 0 h 493"/>
            <a:gd name="T54" fmla="*/ 1 w 354"/>
            <a:gd name="T55" fmla="*/ 483 h 493"/>
            <a:gd name="T56" fmla="*/ 0 w 354"/>
            <a:gd name="T57" fmla="*/ 486 h 493"/>
            <a:gd name="T58" fmla="*/ 0 w 354"/>
            <a:gd name="T59" fmla="*/ 486 h 493"/>
            <a:gd name="T60" fmla="*/ 0 w 354"/>
            <a:gd name="T61" fmla="*/ 486 h 4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354" h="493">
              <a:moveTo>
                <a:pt x="0" y="486"/>
              </a:moveTo>
              <a:lnTo>
                <a:pt x="42" y="493"/>
              </a:lnTo>
              <a:lnTo>
                <a:pt x="46" y="491"/>
              </a:lnTo>
              <a:lnTo>
                <a:pt x="49" y="462"/>
              </a:lnTo>
              <a:lnTo>
                <a:pt x="51" y="455"/>
              </a:lnTo>
              <a:lnTo>
                <a:pt x="139" y="469"/>
              </a:lnTo>
              <a:lnTo>
                <a:pt x="140" y="469"/>
              </a:lnTo>
              <a:lnTo>
                <a:pt x="140" y="466"/>
              </a:lnTo>
              <a:lnTo>
                <a:pt x="137" y="462"/>
              </a:lnTo>
              <a:lnTo>
                <a:pt x="135" y="451"/>
              </a:lnTo>
              <a:lnTo>
                <a:pt x="135" y="449"/>
              </a:lnTo>
              <a:lnTo>
                <a:pt x="176" y="454"/>
              </a:lnTo>
              <a:lnTo>
                <a:pt x="230" y="461"/>
              </a:lnTo>
              <a:lnTo>
                <a:pt x="277" y="466"/>
              </a:lnTo>
              <a:lnTo>
                <a:pt x="325" y="470"/>
              </a:lnTo>
              <a:lnTo>
                <a:pt x="327" y="470"/>
              </a:lnTo>
              <a:lnTo>
                <a:pt x="331" y="465"/>
              </a:lnTo>
              <a:lnTo>
                <a:pt x="335" y="375"/>
              </a:lnTo>
              <a:lnTo>
                <a:pt x="340" y="297"/>
              </a:lnTo>
              <a:lnTo>
                <a:pt x="350" y="88"/>
              </a:lnTo>
              <a:lnTo>
                <a:pt x="350" y="82"/>
              </a:lnTo>
              <a:lnTo>
                <a:pt x="353" y="81"/>
              </a:lnTo>
              <a:lnTo>
                <a:pt x="354" y="37"/>
              </a:lnTo>
              <a:lnTo>
                <a:pt x="297" y="33"/>
              </a:lnTo>
              <a:lnTo>
                <a:pt x="206" y="22"/>
              </a:lnTo>
              <a:lnTo>
                <a:pt x="131" y="13"/>
              </a:lnTo>
              <a:lnTo>
                <a:pt x="46" y="0"/>
              </a:lnTo>
              <a:lnTo>
                <a:pt x="1" y="483"/>
              </a:lnTo>
              <a:lnTo>
                <a:pt x="0" y="486"/>
              </a:lnTo>
              <a:lnTo>
                <a:pt x="0" y="486"/>
              </a:lnTo>
              <a:lnTo>
                <a:pt x="0" y="486"/>
              </a:lnTo>
              <a:close/>
            </a:path>
          </a:pathLst>
        </a:custGeom>
        <a:solidFill>
          <a:srgbClr val="FC8D59"/>
        </a:solidFill>
        <a:ln w="9525" cap="flat" cmpd="sng">
          <a:solidFill>
            <a:srgbClr val="FFFF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wrap="none" anchor="ctr"/>
        <a:lstStyle/>
        <a:p>
          <a:pPr algn="ctr"/>
          <a:fld id="{1488299E-C5E0-4D1C-A597-FE70A8C8EF60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NM
5390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457971</xdr:colOff>
      <xdr:row>14</xdr:row>
      <xdr:rowOff>137728</xdr:rowOff>
    </xdr:from>
    <xdr:to>
      <xdr:col>6</xdr:col>
      <xdr:colOff>55338</xdr:colOff>
      <xdr:row>18</xdr:row>
      <xdr:rowOff>127971</xdr:rowOff>
    </xdr:to>
    <xdr:sp macro="" textlink="data!E16">
      <xdr:nvSpPr>
        <xdr:cNvPr id="183" name="CO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>
          <a:spLocks/>
        </xdr:cNvSpPr>
      </xdr:nvSpPr>
      <xdr:spPr bwMode="auto">
        <a:xfrm>
          <a:off x="3505971" y="2404678"/>
          <a:ext cx="816567" cy="637943"/>
        </a:xfrm>
        <a:custGeom>
          <a:avLst/>
          <a:gdLst>
            <a:gd name="T0" fmla="*/ 0 w 371"/>
            <a:gd name="T1" fmla="*/ 346 h 388"/>
            <a:gd name="T2" fmla="*/ 85 w 371"/>
            <a:gd name="T3" fmla="*/ 359 h 388"/>
            <a:gd name="T4" fmla="*/ 160 w 371"/>
            <a:gd name="T5" fmla="*/ 368 h 388"/>
            <a:gd name="T6" fmla="*/ 251 w 371"/>
            <a:gd name="T7" fmla="*/ 379 h 388"/>
            <a:gd name="T8" fmla="*/ 308 w 371"/>
            <a:gd name="T9" fmla="*/ 383 h 388"/>
            <a:gd name="T10" fmla="*/ 359 w 371"/>
            <a:gd name="T11" fmla="*/ 388 h 388"/>
            <a:gd name="T12" fmla="*/ 368 w 371"/>
            <a:gd name="T13" fmla="*/ 127 h 388"/>
            <a:gd name="T14" fmla="*/ 371 w 371"/>
            <a:gd name="T15" fmla="*/ 43 h 388"/>
            <a:gd name="T16" fmla="*/ 367 w 371"/>
            <a:gd name="T17" fmla="*/ 40 h 388"/>
            <a:gd name="T18" fmla="*/ 320 w 371"/>
            <a:gd name="T19" fmla="*/ 36 h 388"/>
            <a:gd name="T20" fmla="*/ 275 w 371"/>
            <a:gd name="T21" fmla="*/ 32 h 388"/>
            <a:gd name="T22" fmla="*/ 200 w 371"/>
            <a:gd name="T23" fmla="*/ 24 h 388"/>
            <a:gd name="T24" fmla="*/ 158 w 371"/>
            <a:gd name="T25" fmla="*/ 19 h 388"/>
            <a:gd name="T26" fmla="*/ 79 w 371"/>
            <a:gd name="T27" fmla="*/ 8 h 388"/>
            <a:gd name="T28" fmla="*/ 33 w 371"/>
            <a:gd name="T29" fmla="*/ 0 h 388"/>
            <a:gd name="T30" fmla="*/ 0 w 371"/>
            <a:gd name="T31" fmla="*/ 346 h 388"/>
            <a:gd name="T32" fmla="*/ 0 w 371"/>
            <a:gd name="T33" fmla="*/ 346 h 388"/>
            <a:gd name="T34" fmla="*/ 0 w 371"/>
            <a:gd name="T35" fmla="*/ 346 h 38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371" h="388">
              <a:moveTo>
                <a:pt x="0" y="346"/>
              </a:moveTo>
              <a:lnTo>
                <a:pt x="85" y="359"/>
              </a:lnTo>
              <a:lnTo>
                <a:pt x="160" y="368"/>
              </a:lnTo>
              <a:lnTo>
                <a:pt x="251" y="379"/>
              </a:lnTo>
              <a:lnTo>
                <a:pt x="308" y="383"/>
              </a:lnTo>
              <a:lnTo>
                <a:pt x="359" y="388"/>
              </a:lnTo>
              <a:lnTo>
                <a:pt x="368" y="127"/>
              </a:lnTo>
              <a:lnTo>
                <a:pt x="371" y="43"/>
              </a:lnTo>
              <a:lnTo>
                <a:pt x="367" y="40"/>
              </a:lnTo>
              <a:lnTo>
                <a:pt x="320" y="36"/>
              </a:lnTo>
              <a:lnTo>
                <a:pt x="275" y="32"/>
              </a:lnTo>
              <a:lnTo>
                <a:pt x="200" y="24"/>
              </a:lnTo>
              <a:lnTo>
                <a:pt x="158" y="19"/>
              </a:lnTo>
              <a:lnTo>
                <a:pt x="79" y="8"/>
              </a:lnTo>
              <a:lnTo>
                <a:pt x="33" y="0"/>
              </a:lnTo>
              <a:lnTo>
                <a:pt x="0" y="346"/>
              </a:lnTo>
              <a:lnTo>
                <a:pt x="0" y="346"/>
              </a:lnTo>
              <a:lnTo>
                <a:pt x="0" y="346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E2F74340-065B-4EA9-9CCA-423E13044FE0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CO
4782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28869</xdr:colOff>
      <xdr:row>19</xdr:row>
      <xdr:rowOff>40726</xdr:rowOff>
    </xdr:from>
    <xdr:to>
      <xdr:col>7</xdr:col>
      <xdr:colOff>379009</xdr:colOff>
      <xdr:row>28</xdr:row>
      <xdr:rowOff>144235</xdr:rowOff>
    </xdr:to>
    <xdr:sp macro="" textlink="data!E55">
      <xdr:nvSpPr>
        <xdr:cNvPr id="184" name="TX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>
          <a:spLocks/>
        </xdr:cNvSpPr>
      </xdr:nvSpPr>
      <xdr:spPr bwMode="auto">
        <a:xfrm>
          <a:off x="3294583" y="3039740"/>
          <a:ext cx="1656426" cy="1524095"/>
        </a:xfrm>
        <a:custGeom>
          <a:avLst/>
          <a:gdLst>
            <a:gd name="T0" fmla="*/ 18 w 719"/>
            <a:gd name="T1" fmla="*/ 406 h 931"/>
            <a:gd name="T2" fmla="*/ 55 w 719"/>
            <a:gd name="T3" fmla="*/ 462 h 931"/>
            <a:gd name="T4" fmla="*/ 87 w 719"/>
            <a:gd name="T5" fmla="*/ 501 h 931"/>
            <a:gd name="T6" fmla="*/ 97 w 719"/>
            <a:gd name="T7" fmla="*/ 548 h 931"/>
            <a:gd name="T8" fmla="*/ 132 w 719"/>
            <a:gd name="T9" fmla="*/ 616 h 931"/>
            <a:gd name="T10" fmla="*/ 169 w 719"/>
            <a:gd name="T11" fmla="*/ 644 h 931"/>
            <a:gd name="T12" fmla="*/ 192 w 719"/>
            <a:gd name="T13" fmla="*/ 632 h 931"/>
            <a:gd name="T14" fmla="*/ 214 w 719"/>
            <a:gd name="T15" fmla="*/ 585 h 931"/>
            <a:gd name="T16" fmla="*/ 243 w 719"/>
            <a:gd name="T17" fmla="*/ 584 h 931"/>
            <a:gd name="T18" fmla="*/ 280 w 719"/>
            <a:gd name="T19" fmla="*/ 590 h 931"/>
            <a:gd name="T20" fmla="*/ 299 w 719"/>
            <a:gd name="T21" fmla="*/ 617 h 931"/>
            <a:gd name="T22" fmla="*/ 328 w 719"/>
            <a:gd name="T23" fmla="*/ 681 h 931"/>
            <a:gd name="T24" fmla="*/ 341 w 719"/>
            <a:gd name="T25" fmla="*/ 723 h 931"/>
            <a:gd name="T26" fmla="*/ 362 w 719"/>
            <a:gd name="T27" fmla="*/ 758 h 931"/>
            <a:gd name="T28" fmla="*/ 383 w 719"/>
            <a:gd name="T29" fmla="*/ 799 h 931"/>
            <a:gd name="T30" fmla="*/ 393 w 719"/>
            <a:gd name="T31" fmla="*/ 842 h 931"/>
            <a:gd name="T32" fmla="*/ 414 w 719"/>
            <a:gd name="T33" fmla="*/ 883 h 931"/>
            <a:gd name="T34" fmla="*/ 438 w 719"/>
            <a:gd name="T35" fmla="*/ 899 h 931"/>
            <a:gd name="T36" fmla="*/ 489 w 719"/>
            <a:gd name="T37" fmla="*/ 917 h 931"/>
            <a:gd name="T38" fmla="*/ 518 w 719"/>
            <a:gd name="T39" fmla="*/ 922 h 931"/>
            <a:gd name="T40" fmla="*/ 509 w 719"/>
            <a:gd name="T41" fmla="*/ 907 h 931"/>
            <a:gd name="T42" fmla="*/ 498 w 719"/>
            <a:gd name="T43" fmla="*/ 845 h 931"/>
            <a:gd name="T44" fmla="*/ 502 w 719"/>
            <a:gd name="T45" fmla="*/ 810 h 931"/>
            <a:gd name="T46" fmla="*/ 489 w 719"/>
            <a:gd name="T47" fmla="*/ 805 h 931"/>
            <a:gd name="T48" fmla="*/ 509 w 719"/>
            <a:gd name="T49" fmla="*/ 773 h 931"/>
            <a:gd name="T50" fmla="*/ 511 w 719"/>
            <a:gd name="T51" fmla="*/ 758 h 931"/>
            <a:gd name="T52" fmla="*/ 515 w 719"/>
            <a:gd name="T53" fmla="*/ 742 h 931"/>
            <a:gd name="T54" fmla="*/ 531 w 719"/>
            <a:gd name="T55" fmla="*/ 726 h 931"/>
            <a:gd name="T56" fmla="*/ 538 w 719"/>
            <a:gd name="T57" fmla="*/ 709 h 931"/>
            <a:gd name="T58" fmla="*/ 553 w 719"/>
            <a:gd name="T59" fmla="*/ 707 h 931"/>
            <a:gd name="T60" fmla="*/ 563 w 719"/>
            <a:gd name="T61" fmla="*/ 695 h 931"/>
            <a:gd name="T62" fmla="*/ 576 w 719"/>
            <a:gd name="T63" fmla="*/ 693 h 931"/>
            <a:gd name="T64" fmla="*/ 593 w 719"/>
            <a:gd name="T65" fmla="*/ 693 h 931"/>
            <a:gd name="T66" fmla="*/ 613 w 719"/>
            <a:gd name="T67" fmla="*/ 675 h 931"/>
            <a:gd name="T68" fmla="*/ 645 w 719"/>
            <a:gd name="T69" fmla="*/ 633 h 931"/>
            <a:gd name="T70" fmla="*/ 639 w 719"/>
            <a:gd name="T71" fmla="*/ 598 h 931"/>
            <a:gd name="T72" fmla="*/ 661 w 719"/>
            <a:gd name="T73" fmla="*/ 612 h 931"/>
            <a:gd name="T74" fmla="*/ 658 w 719"/>
            <a:gd name="T75" fmla="*/ 622 h 931"/>
            <a:gd name="T76" fmla="*/ 702 w 719"/>
            <a:gd name="T77" fmla="*/ 577 h 931"/>
            <a:gd name="T78" fmla="*/ 710 w 719"/>
            <a:gd name="T79" fmla="*/ 533 h 931"/>
            <a:gd name="T80" fmla="*/ 718 w 719"/>
            <a:gd name="T81" fmla="*/ 489 h 931"/>
            <a:gd name="T82" fmla="*/ 710 w 719"/>
            <a:gd name="T83" fmla="*/ 452 h 931"/>
            <a:gd name="T84" fmla="*/ 696 w 719"/>
            <a:gd name="T85" fmla="*/ 409 h 931"/>
            <a:gd name="T86" fmla="*/ 663 w 719"/>
            <a:gd name="T87" fmla="*/ 260 h 931"/>
            <a:gd name="T88" fmla="*/ 620 w 719"/>
            <a:gd name="T89" fmla="*/ 233 h 931"/>
            <a:gd name="T90" fmla="*/ 592 w 719"/>
            <a:gd name="T91" fmla="*/ 242 h 931"/>
            <a:gd name="T92" fmla="*/ 564 w 719"/>
            <a:gd name="T93" fmla="*/ 256 h 931"/>
            <a:gd name="T94" fmla="*/ 536 w 719"/>
            <a:gd name="T95" fmla="*/ 241 h 931"/>
            <a:gd name="T96" fmla="*/ 518 w 719"/>
            <a:gd name="T97" fmla="*/ 253 h 931"/>
            <a:gd name="T98" fmla="*/ 501 w 719"/>
            <a:gd name="T99" fmla="*/ 238 h 931"/>
            <a:gd name="T100" fmla="*/ 476 w 719"/>
            <a:gd name="T101" fmla="*/ 233 h 931"/>
            <a:gd name="T102" fmla="*/ 452 w 719"/>
            <a:gd name="T103" fmla="*/ 221 h 931"/>
            <a:gd name="T104" fmla="*/ 421 w 719"/>
            <a:gd name="T105" fmla="*/ 209 h 931"/>
            <a:gd name="T106" fmla="*/ 403 w 719"/>
            <a:gd name="T107" fmla="*/ 190 h 931"/>
            <a:gd name="T108" fmla="*/ 376 w 719"/>
            <a:gd name="T109" fmla="*/ 181 h 931"/>
            <a:gd name="T110" fmla="*/ 341 w 719"/>
            <a:gd name="T111" fmla="*/ 9 h 931"/>
            <a:gd name="T112" fmla="*/ 196 w 719"/>
            <a:gd name="T113" fmla="*/ 384 h 931"/>
            <a:gd name="T114" fmla="*/ 0 w 719"/>
            <a:gd name="T115" fmla="*/ 370 h 9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719" h="931">
              <a:moveTo>
                <a:pt x="5" y="388"/>
              </a:moveTo>
              <a:lnTo>
                <a:pt x="8" y="390"/>
              </a:lnTo>
              <a:lnTo>
                <a:pt x="9" y="390"/>
              </a:lnTo>
              <a:lnTo>
                <a:pt x="11" y="392"/>
              </a:lnTo>
              <a:lnTo>
                <a:pt x="15" y="396"/>
              </a:lnTo>
              <a:lnTo>
                <a:pt x="17" y="401"/>
              </a:lnTo>
              <a:lnTo>
                <a:pt x="18" y="406"/>
              </a:lnTo>
              <a:lnTo>
                <a:pt x="21" y="417"/>
              </a:lnTo>
              <a:lnTo>
                <a:pt x="25" y="421"/>
              </a:lnTo>
              <a:lnTo>
                <a:pt x="33" y="426"/>
              </a:lnTo>
              <a:lnTo>
                <a:pt x="37" y="432"/>
              </a:lnTo>
              <a:lnTo>
                <a:pt x="45" y="446"/>
              </a:lnTo>
              <a:lnTo>
                <a:pt x="53" y="457"/>
              </a:lnTo>
              <a:lnTo>
                <a:pt x="55" y="462"/>
              </a:lnTo>
              <a:lnTo>
                <a:pt x="62" y="474"/>
              </a:lnTo>
              <a:lnTo>
                <a:pt x="67" y="478"/>
              </a:lnTo>
              <a:lnTo>
                <a:pt x="71" y="481"/>
              </a:lnTo>
              <a:lnTo>
                <a:pt x="79" y="490"/>
              </a:lnTo>
              <a:lnTo>
                <a:pt x="83" y="493"/>
              </a:lnTo>
              <a:lnTo>
                <a:pt x="84" y="498"/>
              </a:lnTo>
              <a:lnTo>
                <a:pt x="87" y="501"/>
              </a:lnTo>
              <a:lnTo>
                <a:pt x="89" y="506"/>
              </a:lnTo>
              <a:lnTo>
                <a:pt x="90" y="517"/>
              </a:lnTo>
              <a:lnTo>
                <a:pt x="92" y="520"/>
              </a:lnTo>
              <a:lnTo>
                <a:pt x="96" y="530"/>
              </a:lnTo>
              <a:lnTo>
                <a:pt x="98" y="536"/>
              </a:lnTo>
              <a:lnTo>
                <a:pt x="98" y="541"/>
              </a:lnTo>
              <a:lnTo>
                <a:pt x="97" y="548"/>
              </a:lnTo>
              <a:lnTo>
                <a:pt x="97" y="558"/>
              </a:lnTo>
              <a:lnTo>
                <a:pt x="106" y="585"/>
              </a:lnTo>
              <a:lnTo>
                <a:pt x="111" y="593"/>
              </a:lnTo>
              <a:lnTo>
                <a:pt x="115" y="596"/>
              </a:lnTo>
              <a:lnTo>
                <a:pt x="119" y="598"/>
              </a:lnTo>
              <a:lnTo>
                <a:pt x="122" y="604"/>
              </a:lnTo>
              <a:lnTo>
                <a:pt x="132" y="616"/>
              </a:lnTo>
              <a:lnTo>
                <a:pt x="136" y="618"/>
              </a:lnTo>
              <a:lnTo>
                <a:pt x="144" y="621"/>
              </a:lnTo>
              <a:lnTo>
                <a:pt x="146" y="626"/>
              </a:lnTo>
              <a:lnTo>
                <a:pt x="157" y="633"/>
              </a:lnTo>
              <a:lnTo>
                <a:pt x="161" y="640"/>
              </a:lnTo>
              <a:lnTo>
                <a:pt x="165" y="644"/>
              </a:lnTo>
              <a:lnTo>
                <a:pt x="169" y="644"/>
              </a:lnTo>
              <a:lnTo>
                <a:pt x="170" y="646"/>
              </a:lnTo>
              <a:lnTo>
                <a:pt x="174" y="648"/>
              </a:lnTo>
              <a:lnTo>
                <a:pt x="180" y="648"/>
              </a:lnTo>
              <a:lnTo>
                <a:pt x="182" y="642"/>
              </a:lnTo>
              <a:lnTo>
                <a:pt x="186" y="638"/>
              </a:lnTo>
              <a:lnTo>
                <a:pt x="188" y="633"/>
              </a:lnTo>
              <a:lnTo>
                <a:pt x="192" y="632"/>
              </a:lnTo>
              <a:lnTo>
                <a:pt x="194" y="626"/>
              </a:lnTo>
              <a:lnTo>
                <a:pt x="195" y="620"/>
              </a:lnTo>
              <a:lnTo>
                <a:pt x="197" y="618"/>
              </a:lnTo>
              <a:lnTo>
                <a:pt x="204" y="596"/>
              </a:lnTo>
              <a:lnTo>
                <a:pt x="208" y="589"/>
              </a:lnTo>
              <a:lnTo>
                <a:pt x="210" y="586"/>
              </a:lnTo>
              <a:lnTo>
                <a:pt x="214" y="585"/>
              </a:lnTo>
              <a:lnTo>
                <a:pt x="218" y="582"/>
              </a:lnTo>
              <a:lnTo>
                <a:pt x="222" y="584"/>
              </a:lnTo>
              <a:lnTo>
                <a:pt x="226" y="582"/>
              </a:lnTo>
              <a:lnTo>
                <a:pt x="228" y="577"/>
              </a:lnTo>
              <a:lnTo>
                <a:pt x="232" y="577"/>
              </a:lnTo>
              <a:lnTo>
                <a:pt x="239" y="582"/>
              </a:lnTo>
              <a:lnTo>
                <a:pt x="243" y="584"/>
              </a:lnTo>
              <a:lnTo>
                <a:pt x="248" y="582"/>
              </a:lnTo>
              <a:lnTo>
                <a:pt x="252" y="584"/>
              </a:lnTo>
              <a:lnTo>
                <a:pt x="256" y="584"/>
              </a:lnTo>
              <a:lnTo>
                <a:pt x="267" y="588"/>
              </a:lnTo>
              <a:lnTo>
                <a:pt x="272" y="584"/>
              </a:lnTo>
              <a:lnTo>
                <a:pt x="276" y="586"/>
              </a:lnTo>
              <a:lnTo>
                <a:pt x="280" y="590"/>
              </a:lnTo>
              <a:lnTo>
                <a:pt x="281" y="596"/>
              </a:lnTo>
              <a:lnTo>
                <a:pt x="284" y="601"/>
              </a:lnTo>
              <a:lnTo>
                <a:pt x="285" y="605"/>
              </a:lnTo>
              <a:lnTo>
                <a:pt x="289" y="604"/>
              </a:lnTo>
              <a:lnTo>
                <a:pt x="291" y="609"/>
              </a:lnTo>
              <a:lnTo>
                <a:pt x="295" y="614"/>
              </a:lnTo>
              <a:lnTo>
                <a:pt x="299" y="617"/>
              </a:lnTo>
              <a:lnTo>
                <a:pt x="300" y="621"/>
              </a:lnTo>
              <a:lnTo>
                <a:pt x="312" y="633"/>
              </a:lnTo>
              <a:lnTo>
                <a:pt x="316" y="645"/>
              </a:lnTo>
              <a:lnTo>
                <a:pt x="320" y="650"/>
              </a:lnTo>
              <a:lnTo>
                <a:pt x="322" y="663"/>
              </a:lnTo>
              <a:lnTo>
                <a:pt x="327" y="675"/>
              </a:lnTo>
              <a:lnTo>
                <a:pt x="328" y="681"/>
              </a:lnTo>
              <a:lnTo>
                <a:pt x="328" y="683"/>
              </a:lnTo>
              <a:lnTo>
                <a:pt x="331" y="687"/>
              </a:lnTo>
              <a:lnTo>
                <a:pt x="333" y="693"/>
              </a:lnTo>
              <a:lnTo>
                <a:pt x="337" y="699"/>
              </a:lnTo>
              <a:lnTo>
                <a:pt x="336" y="701"/>
              </a:lnTo>
              <a:lnTo>
                <a:pt x="337" y="711"/>
              </a:lnTo>
              <a:lnTo>
                <a:pt x="341" y="723"/>
              </a:lnTo>
              <a:lnTo>
                <a:pt x="346" y="727"/>
              </a:lnTo>
              <a:lnTo>
                <a:pt x="350" y="730"/>
              </a:lnTo>
              <a:lnTo>
                <a:pt x="353" y="738"/>
              </a:lnTo>
              <a:lnTo>
                <a:pt x="355" y="743"/>
              </a:lnTo>
              <a:lnTo>
                <a:pt x="358" y="747"/>
              </a:lnTo>
              <a:lnTo>
                <a:pt x="361" y="753"/>
              </a:lnTo>
              <a:lnTo>
                <a:pt x="362" y="758"/>
              </a:lnTo>
              <a:lnTo>
                <a:pt x="370" y="773"/>
              </a:lnTo>
              <a:lnTo>
                <a:pt x="377" y="775"/>
              </a:lnTo>
              <a:lnTo>
                <a:pt x="381" y="779"/>
              </a:lnTo>
              <a:lnTo>
                <a:pt x="382" y="782"/>
              </a:lnTo>
              <a:lnTo>
                <a:pt x="382" y="787"/>
              </a:lnTo>
              <a:lnTo>
                <a:pt x="383" y="793"/>
              </a:lnTo>
              <a:lnTo>
                <a:pt x="383" y="799"/>
              </a:lnTo>
              <a:lnTo>
                <a:pt x="381" y="805"/>
              </a:lnTo>
              <a:lnTo>
                <a:pt x="385" y="809"/>
              </a:lnTo>
              <a:lnTo>
                <a:pt x="385" y="815"/>
              </a:lnTo>
              <a:lnTo>
                <a:pt x="385" y="821"/>
              </a:lnTo>
              <a:lnTo>
                <a:pt x="385" y="826"/>
              </a:lnTo>
              <a:lnTo>
                <a:pt x="388" y="831"/>
              </a:lnTo>
              <a:lnTo>
                <a:pt x="393" y="842"/>
              </a:lnTo>
              <a:lnTo>
                <a:pt x="396" y="847"/>
              </a:lnTo>
              <a:lnTo>
                <a:pt x="399" y="859"/>
              </a:lnTo>
              <a:lnTo>
                <a:pt x="400" y="871"/>
              </a:lnTo>
              <a:lnTo>
                <a:pt x="404" y="875"/>
              </a:lnTo>
              <a:lnTo>
                <a:pt x="404" y="881"/>
              </a:lnTo>
              <a:lnTo>
                <a:pt x="406" y="883"/>
              </a:lnTo>
              <a:lnTo>
                <a:pt x="414" y="883"/>
              </a:lnTo>
              <a:lnTo>
                <a:pt x="418" y="886"/>
              </a:lnTo>
              <a:lnTo>
                <a:pt x="421" y="886"/>
              </a:lnTo>
              <a:lnTo>
                <a:pt x="425" y="890"/>
              </a:lnTo>
              <a:lnTo>
                <a:pt x="428" y="895"/>
              </a:lnTo>
              <a:lnTo>
                <a:pt x="430" y="897"/>
              </a:lnTo>
              <a:lnTo>
                <a:pt x="434" y="897"/>
              </a:lnTo>
              <a:lnTo>
                <a:pt x="438" y="899"/>
              </a:lnTo>
              <a:lnTo>
                <a:pt x="443" y="899"/>
              </a:lnTo>
              <a:lnTo>
                <a:pt x="451" y="910"/>
              </a:lnTo>
              <a:lnTo>
                <a:pt x="454" y="911"/>
              </a:lnTo>
              <a:lnTo>
                <a:pt x="471" y="914"/>
              </a:lnTo>
              <a:lnTo>
                <a:pt x="481" y="913"/>
              </a:lnTo>
              <a:lnTo>
                <a:pt x="485" y="915"/>
              </a:lnTo>
              <a:lnTo>
                <a:pt x="489" y="917"/>
              </a:lnTo>
              <a:lnTo>
                <a:pt x="497" y="927"/>
              </a:lnTo>
              <a:lnTo>
                <a:pt x="497" y="927"/>
              </a:lnTo>
              <a:lnTo>
                <a:pt x="502" y="931"/>
              </a:lnTo>
              <a:lnTo>
                <a:pt x="506" y="931"/>
              </a:lnTo>
              <a:lnTo>
                <a:pt x="506" y="926"/>
              </a:lnTo>
              <a:lnTo>
                <a:pt x="516" y="922"/>
              </a:lnTo>
              <a:lnTo>
                <a:pt x="518" y="922"/>
              </a:lnTo>
              <a:lnTo>
                <a:pt x="517" y="915"/>
              </a:lnTo>
              <a:lnTo>
                <a:pt x="513" y="921"/>
              </a:lnTo>
              <a:lnTo>
                <a:pt x="514" y="915"/>
              </a:lnTo>
              <a:lnTo>
                <a:pt x="511" y="921"/>
              </a:lnTo>
              <a:lnTo>
                <a:pt x="507" y="913"/>
              </a:lnTo>
              <a:lnTo>
                <a:pt x="512" y="913"/>
              </a:lnTo>
              <a:lnTo>
                <a:pt x="509" y="907"/>
              </a:lnTo>
              <a:lnTo>
                <a:pt x="508" y="897"/>
              </a:lnTo>
              <a:lnTo>
                <a:pt x="501" y="878"/>
              </a:lnTo>
              <a:lnTo>
                <a:pt x="501" y="873"/>
              </a:lnTo>
              <a:lnTo>
                <a:pt x="498" y="853"/>
              </a:lnTo>
              <a:lnTo>
                <a:pt x="494" y="847"/>
              </a:lnTo>
              <a:lnTo>
                <a:pt x="494" y="842"/>
              </a:lnTo>
              <a:lnTo>
                <a:pt x="498" y="845"/>
              </a:lnTo>
              <a:lnTo>
                <a:pt x="494" y="838"/>
              </a:lnTo>
              <a:lnTo>
                <a:pt x="494" y="833"/>
              </a:lnTo>
              <a:lnTo>
                <a:pt x="498" y="833"/>
              </a:lnTo>
              <a:lnTo>
                <a:pt x="499" y="826"/>
              </a:lnTo>
              <a:lnTo>
                <a:pt x="501" y="821"/>
              </a:lnTo>
              <a:lnTo>
                <a:pt x="501" y="815"/>
              </a:lnTo>
              <a:lnTo>
                <a:pt x="502" y="810"/>
              </a:lnTo>
              <a:lnTo>
                <a:pt x="494" y="813"/>
              </a:lnTo>
              <a:lnTo>
                <a:pt x="485" y="810"/>
              </a:lnTo>
              <a:lnTo>
                <a:pt x="486" y="803"/>
              </a:lnTo>
              <a:lnTo>
                <a:pt x="484" y="801"/>
              </a:lnTo>
              <a:lnTo>
                <a:pt x="482" y="795"/>
              </a:lnTo>
              <a:lnTo>
                <a:pt x="486" y="799"/>
              </a:lnTo>
              <a:lnTo>
                <a:pt x="489" y="805"/>
              </a:lnTo>
              <a:lnTo>
                <a:pt x="493" y="803"/>
              </a:lnTo>
              <a:lnTo>
                <a:pt x="496" y="802"/>
              </a:lnTo>
              <a:lnTo>
                <a:pt x="500" y="803"/>
              </a:lnTo>
              <a:lnTo>
                <a:pt x="496" y="807"/>
              </a:lnTo>
              <a:lnTo>
                <a:pt x="502" y="805"/>
              </a:lnTo>
              <a:lnTo>
                <a:pt x="510" y="778"/>
              </a:lnTo>
              <a:lnTo>
                <a:pt x="509" y="773"/>
              </a:lnTo>
              <a:lnTo>
                <a:pt x="507" y="771"/>
              </a:lnTo>
              <a:lnTo>
                <a:pt x="504" y="766"/>
              </a:lnTo>
              <a:lnTo>
                <a:pt x="504" y="761"/>
              </a:lnTo>
              <a:lnTo>
                <a:pt x="500" y="763"/>
              </a:lnTo>
              <a:lnTo>
                <a:pt x="497" y="761"/>
              </a:lnTo>
              <a:lnTo>
                <a:pt x="502" y="759"/>
              </a:lnTo>
              <a:lnTo>
                <a:pt x="511" y="758"/>
              </a:lnTo>
              <a:lnTo>
                <a:pt x="514" y="763"/>
              </a:lnTo>
              <a:lnTo>
                <a:pt x="522" y="749"/>
              </a:lnTo>
              <a:lnTo>
                <a:pt x="525" y="742"/>
              </a:lnTo>
              <a:lnTo>
                <a:pt x="525" y="738"/>
              </a:lnTo>
              <a:lnTo>
                <a:pt x="521" y="742"/>
              </a:lnTo>
              <a:lnTo>
                <a:pt x="519" y="747"/>
              </a:lnTo>
              <a:lnTo>
                <a:pt x="515" y="742"/>
              </a:lnTo>
              <a:lnTo>
                <a:pt x="517" y="737"/>
              </a:lnTo>
              <a:lnTo>
                <a:pt x="516" y="734"/>
              </a:lnTo>
              <a:lnTo>
                <a:pt x="520" y="734"/>
              </a:lnTo>
              <a:lnTo>
                <a:pt x="524" y="731"/>
              </a:lnTo>
              <a:lnTo>
                <a:pt x="526" y="737"/>
              </a:lnTo>
              <a:lnTo>
                <a:pt x="530" y="731"/>
              </a:lnTo>
              <a:lnTo>
                <a:pt x="531" y="726"/>
              </a:lnTo>
              <a:lnTo>
                <a:pt x="531" y="731"/>
              </a:lnTo>
              <a:lnTo>
                <a:pt x="530" y="737"/>
              </a:lnTo>
              <a:lnTo>
                <a:pt x="534" y="734"/>
              </a:lnTo>
              <a:lnTo>
                <a:pt x="538" y="726"/>
              </a:lnTo>
              <a:lnTo>
                <a:pt x="538" y="721"/>
              </a:lnTo>
              <a:lnTo>
                <a:pt x="536" y="715"/>
              </a:lnTo>
              <a:lnTo>
                <a:pt x="538" y="709"/>
              </a:lnTo>
              <a:lnTo>
                <a:pt x="538" y="707"/>
              </a:lnTo>
              <a:lnTo>
                <a:pt x="543" y="718"/>
              </a:lnTo>
              <a:lnTo>
                <a:pt x="547" y="719"/>
              </a:lnTo>
              <a:lnTo>
                <a:pt x="561" y="711"/>
              </a:lnTo>
              <a:lnTo>
                <a:pt x="561" y="709"/>
              </a:lnTo>
              <a:lnTo>
                <a:pt x="557" y="706"/>
              </a:lnTo>
              <a:lnTo>
                <a:pt x="553" y="707"/>
              </a:lnTo>
              <a:lnTo>
                <a:pt x="555" y="702"/>
              </a:lnTo>
              <a:lnTo>
                <a:pt x="551" y="698"/>
              </a:lnTo>
              <a:lnTo>
                <a:pt x="546" y="687"/>
              </a:lnTo>
              <a:lnTo>
                <a:pt x="551" y="686"/>
              </a:lnTo>
              <a:lnTo>
                <a:pt x="552" y="690"/>
              </a:lnTo>
              <a:lnTo>
                <a:pt x="559" y="697"/>
              </a:lnTo>
              <a:lnTo>
                <a:pt x="563" y="695"/>
              </a:lnTo>
              <a:lnTo>
                <a:pt x="559" y="685"/>
              </a:lnTo>
              <a:lnTo>
                <a:pt x="560" y="683"/>
              </a:lnTo>
              <a:lnTo>
                <a:pt x="562" y="690"/>
              </a:lnTo>
              <a:lnTo>
                <a:pt x="566" y="693"/>
              </a:lnTo>
              <a:lnTo>
                <a:pt x="571" y="689"/>
              </a:lnTo>
              <a:lnTo>
                <a:pt x="572" y="694"/>
              </a:lnTo>
              <a:lnTo>
                <a:pt x="576" y="693"/>
              </a:lnTo>
              <a:lnTo>
                <a:pt x="574" y="697"/>
              </a:lnTo>
              <a:lnTo>
                <a:pt x="582" y="693"/>
              </a:lnTo>
              <a:lnTo>
                <a:pt x="581" y="698"/>
              </a:lnTo>
              <a:lnTo>
                <a:pt x="572" y="703"/>
              </a:lnTo>
              <a:lnTo>
                <a:pt x="572" y="706"/>
              </a:lnTo>
              <a:lnTo>
                <a:pt x="584" y="697"/>
              </a:lnTo>
              <a:lnTo>
                <a:pt x="593" y="693"/>
              </a:lnTo>
              <a:lnTo>
                <a:pt x="598" y="687"/>
              </a:lnTo>
              <a:lnTo>
                <a:pt x="593" y="689"/>
              </a:lnTo>
              <a:lnTo>
                <a:pt x="589" y="693"/>
              </a:lnTo>
              <a:lnTo>
                <a:pt x="588" y="687"/>
              </a:lnTo>
              <a:lnTo>
                <a:pt x="597" y="683"/>
              </a:lnTo>
              <a:lnTo>
                <a:pt x="605" y="682"/>
              </a:lnTo>
              <a:lnTo>
                <a:pt x="613" y="675"/>
              </a:lnTo>
              <a:lnTo>
                <a:pt x="619" y="671"/>
              </a:lnTo>
              <a:lnTo>
                <a:pt x="623" y="667"/>
              </a:lnTo>
              <a:lnTo>
                <a:pt x="631" y="657"/>
              </a:lnTo>
              <a:lnTo>
                <a:pt x="631" y="648"/>
              </a:lnTo>
              <a:lnTo>
                <a:pt x="638" y="641"/>
              </a:lnTo>
              <a:lnTo>
                <a:pt x="641" y="636"/>
              </a:lnTo>
              <a:lnTo>
                <a:pt x="645" y="633"/>
              </a:lnTo>
              <a:lnTo>
                <a:pt x="647" y="626"/>
              </a:lnTo>
              <a:lnTo>
                <a:pt x="643" y="625"/>
              </a:lnTo>
              <a:lnTo>
                <a:pt x="643" y="617"/>
              </a:lnTo>
              <a:lnTo>
                <a:pt x="639" y="612"/>
              </a:lnTo>
              <a:lnTo>
                <a:pt x="639" y="606"/>
              </a:lnTo>
              <a:lnTo>
                <a:pt x="637" y="601"/>
              </a:lnTo>
              <a:lnTo>
                <a:pt x="639" y="598"/>
              </a:lnTo>
              <a:lnTo>
                <a:pt x="645" y="604"/>
              </a:lnTo>
              <a:lnTo>
                <a:pt x="647" y="598"/>
              </a:lnTo>
              <a:lnTo>
                <a:pt x="651" y="593"/>
              </a:lnTo>
              <a:lnTo>
                <a:pt x="655" y="594"/>
              </a:lnTo>
              <a:lnTo>
                <a:pt x="655" y="604"/>
              </a:lnTo>
              <a:lnTo>
                <a:pt x="652" y="614"/>
              </a:lnTo>
              <a:lnTo>
                <a:pt x="661" y="612"/>
              </a:lnTo>
              <a:lnTo>
                <a:pt x="669" y="612"/>
              </a:lnTo>
              <a:lnTo>
                <a:pt x="668" y="613"/>
              </a:lnTo>
              <a:lnTo>
                <a:pt x="664" y="614"/>
              </a:lnTo>
              <a:lnTo>
                <a:pt x="655" y="622"/>
              </a:lnTo>
              <a:lnTo>
                <a:pt x="652" y="629"/>
              </a:lnTo>
              <a:lnTo>
                <a:pt x="653" y="629"/>
              </a:lnTo>
              <a:lnTo>
                <a:pt x="658" y="622"/>
              </a:lnTo>
              <a:lnTo>
                <a:pt x="662" y="620"/>
              </a:lnTo>
              <a:lnTo>
                <a:pt x="666" y="617"/>
              </a:lnTo>
              <a:lnTo>
                <a:pt x="678" y="609"/>
              </a:lnTo>
              <a:lnTo>
                <a:pt x="691" y="601"/>
              </a:lnTo>
              <a:lnTo>
                <a:pt x="704" y="600"/>
              </a:lnTo>
              <a:lnTo>
                <a:pt x="698" y="588"/>
              </a:lnTo>
              <a:lnTo>
                <a:pt x="702" y="577"/>
              </a:lnTo>
              <a:lnTo>
                <a:pt x="706" y="572"/>
              </a:lnTo>
              <a:lnTo>
                <a:pt x="706" y="572"/>
              </a:lnTo>
              <a:lnTo>
                <a:pt x="710" y="566"/>
              </a:lnTo>
              <a:lnTo>
                <a:pt x="712" y="560"/>
              </a:lnTo>
              <a:lnTo>
                <a:pt x="710" y="546"/>
              </a:lnTo>
              <a:lnTo>
                <a:pt x="708" y="540"/>
              </a:lnTo>
              <a:lnTo>
                <a:pt x="710" y="533"/>
              </a:lnTo>
              <a:lnTo>
                <a:pt x="709" y="522"/>
              </a:lnTo>
              <a:lnTo>
                <a:pt x="711" y="517"/>
              </a:lnTo>
              <a:lnTo>
                <a:pt x="714" y="512"/>
              </a:lnTo>
              <a:lnTo>
                <a:pt x="715" y="506"/>
              </a:lnTo>
              <a:lnTo>
                <a:pt x="718" y="501"/>
              </a:lnTo>
              <a:lnTo>
                <a:pt x="717" y="494"/>
              </a:lnTo>
              <a:lnTo>
                <a:pt x="718" y="489"/>
              </a:lnTo>
              <a:lnTo>
                <a:pt x="717" y="484"/>
              </a:lnTo>
              <a:lnTo>
                <a:pt x="719" y="480"/>
              </a:lnTo>
              <a:lnTo>
                <a:pt x="718" y="474"/>
              </a:lnTo>
              <a:lnTo>
                <a:pt x="718" y="469"/>
              </a:lnTo>
              <a:lnTo>
                <a:pt x="716" y="468"/>
              </a:lnTo>
              <a:lnTo>
                <a:pt x="710" y="457"/>
              </a:lnTo>
              <a:lnTo>
                <a:pt x="710" y="452"/>
              </a:lnTo>
              <a:lnTo>
                <a:pt x="708" y="446"/>
              </a:lnTo>
              <a:lnTo>
                <a:pt x="706" y="445"/>
              </a:lnTo>
              <a:lnTo>
                <a:pt x="704" y="438"/>
              </a:lnTo>
              <a:lnTo>
                <a:pt x="701" y="433"/>
              </a:lnTo>
              <a:lnTo>
                <a:pt x="702" y="425"/>
              </a:lnTo>
              <a:lnTo>
                <a:pt x="698" y="414"/>
              </a:lnTo>
              <a:lnTo>
                <a:pt x="696" y="409"/>
              </a:lnTo>
              <a:lnTo>
                <a:pt x="689" y="400"/>
              </a:lnTo>
              <a:lnTo>
                <a:pt x="687" y="313"/>
              </a:lnTo>
              <a:lnTo>
                <a:pt x="685" y="265"/>
              </a:lnTo>
              <a:lnTo>
                <a:pt x="672" y="262"/>
              </a:lnTo>
              <a:lnTo>
                <a:pt x="668" y="266"/>
              </a:lnTo>
              <a:lnTo>
                <a:pt x="664" y="262"/>
              </a:lnTo>
              <a:lnTo>
                <a:pt x="663" y="260"/>
              </a:lnTo>
              <a:lnTo>
                <a:pt x="662" y="258"/>
              </a:lnTo>
              <a:lnTo>
                <a:pt x="650" y="254"/>
              </a:lnTo>
              <a:lnTo>
                <a:pt x="646" y="252"/>
              </a:lnTo>
              <a:lnTo>
                <a:pt x="642" y="250"/>
              </a:lnTo>
              <a:lnTo>
                <a:pt x="634" y="241"/>
              </a:lnTo>
              <a:lnTo>
                <a:pt x="624" y="233"/>
              </a:lnTo>
              <a:lnTo>
                <a:pt x="620" y="233"/>
              </a:lnTo>
              <a:lnTo>
                <a:pt x="618" y="238"/>
              </a:lnTo>
              <a:lnTo>
                <a:pt x="615" y="241"/>
              </a:lnTo>
              <a:lnTo>
                <a:pt x="611" y="241"/>
              </a:lnTo>
              <a:lnTo>
                <a:pt x="608" y="240"/>
              </a:lnTo>
              <a:lnTo>
                <a:pt x="604" y="234"/>
              </a:lnTo>
              <a:lnTo>
                <a:pt x="596" y="238"/>
              </a:lnTo>
              <a:lnTo>
                <a:pt x="592" y="242"/>
              </a:lnTo>
              <a:lnTo>
                <a:pt x="588" y="242"/>
              </a:lnTo>
              <a:lnTo>
                <a:pt x="584" y="238"/>
              </a:lnTo>
              <a:lnTo>
                <a:pt x="580" y="242"/>
              </a:lnTo>
              <a:lnTo>
                <a:pt x="575" y="244"/>
              </a:lnTo>
              <a:lnTo>
                <a:pt x="571" y="250"/>
              </a:lnTo>
              <a:lnTo>
                <a:pt x="566" y="250"/>
              </a:lnTo>
              <a:lnTo>
                <a:pt x="564" y="256"/>
              </a:lnTo>
              <a:lnTo>
                <a:pt x="560" y="250"/>
              </a:lnTo>
              <a:lnTo>
                <a:pt x="556" y="249"/>
              </a:lnTo>
              <a:lnTo>
                <a:pt x="552" y="245"/>
              </a:lnTo>
              <a:lnTo>
                <a:pt x="548" y="240"/>
              </a:lnTo>
              <a:lnTo>
                <a:pt x="544" y="240"/>
              </a:lnTo>
              <a:lnTo>
                <a:pt x="540" y="244"/>
              </a:lnTo>
              <a:lnTo>
                <a:pt x="536" y="241"/>
              </a:lnTo>
              <a:lnTo>
                <a:pt x="532" y="236"/>
              </a:lnTo>
              <a:lnTo>
                <a:pt x="528" y="234"/>
              </a:lnTo>
              <a:lnTo>
                <a:pt x="527" y="234"/>
              </a:lnTo>
              <a:lnTo>
                <a:pt x="527" y="238"/>
              </a:lnTo>
              <a:lnTo>
                <a:pt x="522" y="242"/>
              </a:lnTo>
              <a:lnTo>
                <a:pt x="521" y="253"/>
              </a:lnTo>
              <a:lnTo>
                <a:pt x="518" y="253"/>
              </a:lnTo>
              <a:lnTo>
                <a:pt x="517" y="252"/>
              </a:lnTo>
              <a:lnTo>
                <a:pt x="515" y="246"/>
              </a:lnTo>
              <a:lnTo>
                <a:pt x="517" y="241"/>
              </a:lnTo>
              <a:lnTo>
                <a:pt x="513" y="241"/>
              </a:lnTo>
              <a:lnTo>
                <a:pt x="506" y="245"/>
              </a:lnTo>
              <a:lnTo>
                <a:pt x="502" y="244"/>
              </a:lnTo>
              <a:lnTo>
                <a:pt x="501" y="238"/>
              </a:lnTo>
              <a:lnTo>
                <a:pt x="497" y="238"/>
              </a:lnTo>
              <a:lnTo>
                <a:pt x="495" y="233"/>
              </a:lnTo>
              <a:lnTo>
                <a:pt x="491" y="232"/>
              </a:lnTo>
              <a:lnTo>
                <a:pt x="484" y="240"/>
              </a:lnTo>
              <a:lnTo>
                <a:pt x="480" y="242"/>
              </a:lnTo>
              <a:lnTo>
                <a:pt x="476" y="241"/>
              </a:lnTo>
              <a:lnTo>
                <a:pt x="476" y="233"/>
              </a:lnTo>
              <a:lnTo>
                <a:pt x="475" y="230"/>
              </a:lnTo>
              <a:lnTo>
                <a:pt x="471" y="229"/>
              </a:lnTo>
              <a:lnTo>
                <a:pt x="468" y="224"/>
              </a:lnTo>
              <a:lnTo>
                <a:pt x="469" y="218"/>
              </a:lnTo>
              <a:lnTo>
                <a:pt x="464" y="218"/>
              </a:lnTo>
              <a:lnTo>
                <a:pt x="456" y="217"/>
              </a:lnTo>
              <a:lnTo>
                <a:pt x="452" y="221"/>
              </a:lnTo>
              <a:lnTo>
                <a:pt x="448" y="224"/>
              </a:lnTo>
              <a:lnTo>
                <a:pt x="444" y="220"/>
              </a:lnTo>
              <a:lnTo>
                <a:pt x="442" y="216"/>
              </a:lnTo>
              <a:lnTo>
                <a:pt x="438" y="216"/>
              </a:lnTo>
              <a:lnTo>
                <a:pt x="434" y="217"/>
              </a:lnTo>
              <a:lnTo>
                <a:pt x="426" y="213"/>
              </a:lnTo>
              <a:lnTo>
                <a:pt x="421" y="209"/>
              </a:lnTo>
              <a:lnTo>
                <a:pt x="417" y="210"/>
              </a:lnTo>
              <a:lnTo>
                <a:pt x="415" y="210"/>
              </a:lnTo>
              <a:lnTo>
                <a:pt x="411" y="210"/>
              </a:lnTo>
              <a:lnTo>
                <a:pt x="410" y="204"/>
              </a:lnTo>
              <a:lnTo>
                <a:pt x="410" y="198"/>
              </a:lnTo>
              <a:lnTo>
                <a:pt x="407" y="193"/>
              </a:lnTo>
              <a:lnTo>
                <a:pt x="403" y="190"/>
              </a:lnTo>
              <a:lnTo>
                <a:pt x="402" y="188"/>
              </a:lnTo>
              <a:lnTo>
                <a:pt x="400" y="193"/>
              </a:lnTo>
              <a:lnTo>
                <a:pt x="396" y="194"/>
              </a:lnTo>
              <a:lnTo>
                <a:pt x="391" y="192"/>
              </a:lnTo>
              <a:lnTo>
                <a:pt x="387" y="194"/>
              </a:lnTo>
              <a:lnTo>
                <a:pt x="383" y="192"/>
              </a:lnTo>
              <a:lnTo>
                <a:pt x="376" y="181"/>
              </a:lnTo>
              <a:lnTo>
                <a:pt x="372" y="177"/>
              </a:lnTo>
              <a:lnTo>
                <a:pt x="368" y="176"/>
              </a:lnTo>
              <a:lnTo>
                <a:pt x="368" y="166"/>
              </a:lnTo>
              <a:lnTo>
                <a:pt x="372" y="13"/>
              </a:lnTo>
              <a:lnTo>
                <a:pt x="367" y="9"/>
              </a:lnTo>
              <a:lnTo>
                <a:pt x="363" y="9"/>
              </a:lnTo>
              <a:lnTo>
                <a:pt x="341" y="9"/>
              </a:lnTo>
              <a:lnTo>
                <a:pt x="288" y="5"/>
              </a:lnTo>
              <a:lnTo>
                <a:pt x="218" y="0"/>
              </a:lnTo>
              <a:lnTo>
                <a:pt x="215" y="1"/>
              </a:lnTo>
              <a:lnTo>
                <a:pt x="215" y="7"/>
              </a:lnTo>
              <a:lnTo>
                <a:pt x="205" y="216"/>
              </a:lnTo>
              <a:lnTo>
                <a:pt x="200" y="294"/>
              </a:lnTo>
              <a:lnTo>
                <a:pt x="196" y="384"/>
              </a:lnTo>
              <a:lnTo>
                <a:pt x="192" y="389"/>
              </a:lnTo>
              <a:lnTo>
                <a:pt x="190" y="389"/>
              </a:lnTo>
              <a:lnTo>
                <a:pt x="142" y="385"/>
              </a:lnTo>
              <a:lnTo>
                <a:pt x="95" y="380"/>
              </a:lnTo>
              <a:lnTo>
                <a:pt x="41" y="373"/>
              </a:lnTo>
              <a:lnTo>
                <a:pt x="0" y="368"/>
              </a:lnTo>
              <a:lnTo>
                <a:pt x="0" y="370"/>
              </a:lnTo>
              <a:lnTo>
                <a:pt x="2" y="381"/>
              </a:lnTo>
              <a:lnTo>
                <a:pt x="5" y="385"/>
              </a:lnTo>
              <a:lnTo>
                <a:pt x="5" y="388"/>
              </a:lnTo>
              <a:lnTo>
                <a:pt x="5" y="388"/>
              </a:lnTo>
              <a:lnTo>
                <a:pt x="5" y="388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9AD1E55B-EA83-4EF3-9667-CFE118991696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TX
4472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448038</xdr:colOff>
      <xdr:row>13</xdr:row>
      <xdr:rowOff>65741</xdr:rowOff>
    </xdr:from>
    <xdr:to>
      <xdr:col>7</xdr:col>
      <xdr:colOff>160235</xdr:colOff>
      <xdr:row>16</xdr:row>
      <xdr:rowOff>35032</xdr:rowOff>
    </xdr:to>
    <xdr:sp macro="" textlink="data!E40">
      <xdr:nvSpPr>
        <xdr:cNvPr id="185" name="NE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>
          <a:spLocks/>
        </xdr:cNvSpPr>
      </xdr:nvSpPr>
      <xdr:spPr bwMode="auto">
        <a:xfrm>
          <a:off x="4105638" y="2170766"/>
          <a:ext cx="931397" cy="455066"/>
        </a:xfrm>
        <a:custGeom>
          <a:avLst/>
          <a:gdLst>
            <a:gd name="T0" fmla="*/ 45 w 424"/>
            <a:gd name="T1" fmla="*/ 177 h 277"/>
            <a:gd name="T2" fmla="*/ 96 w 424"/>
            <a:gd name="T3" fmla="*/ 184 h 277"/>
            <a:gd name="T4" fmla="*/ 156 w 424"/>
            <a:gd name="T5" fmla="*/ 272 h 277"/>
            <a:gd name="T6" fmla="*/ 340 w 424"/>
            <a:gd name="T7" fmla="*/ 277 h 277"/>
            <a:gd name="T8" fmla="*/ 419 w 424"/>
            <a:gd name="T9" fmla="*/ 271 h 277"/>
            <a:gd name="T10" fmla="*/ 416 w 424"/>
            <a:gd name="T11" fmla="*/ 260 h 277"/>
            <a:gd name="T12" fmla="*/ 412 w 424"/>
            <a:gd name="T13" fmla="*/ 251 h 277"/>
            <a:gd name="T14" fmla="*/ 405 w 424"/>
            <a:gd name="T15" fmla="*/ 235 h 277"/>
            <a:gd name="T16" fmla="*/ 402 w 424"/>
            <a:gd name="T17" fmla="*/ 224 h 277"/>
            <a:gd name="T18" fmla="*/ 396 w 424"/>
            <a:gd name="T19" fmla="*/ 215 h 277"/>
            <a:gd name="T20" fmla="*/ 396 w 424"/>
            <a:gd name="T21" fmla="*/ 187 h 277"/>
            <a:gd name="T22" fmla="*/ 397 w 424"/>
            <a:gd name="T23" fmla="*/ 173 h 277"/>
            <a:gd name="T24" fmla="*/ 395 w 424"/>
            <a:gd name="T25" fmla="*/ 161 h 277"/>
            <a:gd name="T26" fmla="*/ 393 w 424"/>
            <a:gd name="T27" fmla="*/ 149 h 277"/>
            <a:gd name="T28" fmla="*/ 389 w 424"/>
            <a:gd name="T29" fmla="*/ 141 h 277"/>
            <a:gd name="T30" fmla="*/ 386 w 424"/>
            <a:gd name="T31" fmla="*/ 140 h 277"/>
            <a:gd name="T32" fmla="*/ 385 w 424"/>
            <a:gd name="T33" fmla="*/ 128 h 277"/>
            <a:gd name="T34" fmla="*/ 385 w 424"/>
            <a:gd name="T35" fmla="*/ 118 h 277"/>
            <a:gd name="T36" fmla="*/ 382 w 424"/>
            <a:gd name="T37" fmla="*/ 107 h 277"/>
            <a:gd name="T38" fmla="*/ 376 w 424"/>
            <a:gd name="T39" fmla="*/ 92 h 277"/>
            <a:gd name="T40" fmla="*/ 373 w 424"/>
            <a:gd name="T41" fmla="*/ 82 h 277"/>
            <a:gd name="T42" fmla="*/ 369 w 424"/>
            <a:gd name="T43" fmla="*/ 70 h 277"/>
            <a:gd name="T44" fmla="*/ 370 w 424"/>
            <a:gd name="T45" fmla="*/ 60 h 277"/>
            <a:gd name="T46" fmla="*/ 361 w 424"/>
            <a:gd name="T47" fmla="*/ 58 h 277"/>
            <a:gd name="T48" fmla="*/ 355 w 424"/>
            <a:gd name="T49" fmla="*/ 47 h 277"/>
            <a:gd name="T50" fmla="*/ 346 w 424"/>
            <a:gd name="T51" fmla="*/ 39 h 277"/>
            <a:gd name="T52" fmla="*/ 342 w 424"/>
            <a:gd name="T53" fmla="*/ 38 h 277"/>
            <a:gd name="T54" fmla="*/ 334 w 424"/>
            <a:gd name="T55" fmla="*/ 35 h 277"/>
            <a:gd name="T56" fmla="*/ 309 w 424"/>
            <a:gd name="T57" fmla="*/ 30 h 277"/>
            <a:gd name="T58" fmla="*/ 297 w 424"/>
            <a:gd name="T59" fmla="*/ 34 h 277"/>
            <a:gd name="T60" fmla="*/ 275 w 424"/>
            <a:gd name="T61" fmla="*/ 23 h 277"/>
            <a:gd name="T62" fmla="*/ 218 w 424"/>
            <a:gd name="T63" fmla="*/ 15 h 277"/>
            <a:gd name="T64" fmla="*/ 58 w 424"/>
            <a:gd name="T65" fmla="*/ 6 h 277"/>
            <a:gd name="T66" fmla="*/ 0 w 424"/>
            <a:gd name="T67" fmla="*/ 173 h 277"/>
            <a:gd name="T68" fmla="*/ 0 w 424"/>
            <a:gd name="T69" fmla="*/ 173 h 27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</a:cxnLst>
          <a:rect l="0" t="0" r="r" b="b"/>
          <a:pathLst>
            <a:path w="424" h="277">
              <a:moveTo>
                <a:pt x="0" y="173"/>
              </a:moveTo>
              <a:lnTo>
                <a:pt x="45" y="177"/>
              </a:lnTo>
              <a:lnTo>
                <a:pt x="92" y="181"/>
              </a:lnTo>
              <a:lnTo>
                <a:pt x="96" y="184"/>
              </a:lnTo>
              <a:lnTo>
                <a:pt x="93" y="268"/>
              </a:lnTo>
              <a:lnTo>
                <a:pt x="156" y="272"/>
              </a:lnTo>
              <a:lnTo>
                <a:pt x="277" y="276"/>
              </a:lnTo>
              <a:lnTo>
                <a:pt x="340" y="277"/>
              </a:lnTo>
              <a:lnTo>
                <a:pt x="424" y="276"/>
              </a:lnTo>
              <a:lnTo>
                <a:pt x="419" y="271"/>
              </a:lnTo>
              <a:lnTo>
                <a:pt x="420" y="265"/>
              </a:lnTo>
              <a:lnTo>
                <a:pt x="416" y="260"/>
              </a:lnTo>
              <a:lnTo>
                <a:pt x="416" y="255"/>
              </a:lnTo>
              <a:lnTo>
                <a:pt x="412" y="251"/>
              </a:lnTo>
              <a:lnTo>
                <a:pt x="408" y="245"/>
              </a:lnTo>
              <a:lnTo>
                <a:pt x="405" y="235"/>
              </a:lnTo>
              <a:lnTo>
                <a:pt x="402" y="229"/>
              </a:lnTo>
              <a:lnTo>
                <a:pt x="402" y="224"/>
              </a:lnTo>
              <a:lnTo>
                <a:pt x="400" y="219"/>
              </a:lnTo>
              <a:lnTo>
                <a:pt x="396" y="215"/>
              </a:lnTo>
              <a:lnTo>
                <a:pt x="398" y="199"/>
              </a:lnTo>
              <a:lnTo>
                <a:pt x="396" y="187"/>
              </a:lnTo>
              <a:lnTo>
                <a:pt x="396" y="180"/>
              </a:lnTo>
              <a:lnTo>
                <a:pt x="397" y="173"/>
              </a:lnTo>
              <a:lnTo>
                <a:pt x="394" y="168"/>
              </a:lnTo>
              <a:lnTo>
                <a:pt x="395" y="161"/>
              </a:lnTo>
              <a:lnTo>
                <a:pt x="392" y="156"/>
              </a:lnTo>
              <a:lnTo>
                <a:pt x="393" y="149"/>
              </a:lnTo>
              <a:lnTo>
                <a:pt x="389" y="147"/>
              </a:lnTo>
              <a:lnTo>
                <a:pt x="389" y="141"/>
              </a:lnTo>
              <a:lnTo>
                <a:pt x="385" y="141"/>
              </a:lnTo>
              <a:lnTo>
                <a:pt x="386" y="140"/>
              </a:lnTo>
              <a:lnTo>
                <a:pt x="385" y="135"/>
              </a:lnTo>
              <a:lnTo>
                <a:pt x="385" y="128"/>
              </a:lnTo>
              <a:lnTo>
                <a:pt x="386" y="123"/>
              </a:lnTo>
              <a:lnTo>
                <a:pt x="385" y="118"/>
              </a:lnTo>
              <a:lnTo>
                <a:pt x="382" y="112"/>
              </a:lnTo>
              <a:lnTo>
                <a:pt x="382" y="107"/>
              </a:lnTo>
              <a:lnTo>
                <a:pt x="377" y="98"/>
              </a:lnTo>
              <a:lnTo>
                <a:pt x="376" y="92"/>
              </a:lnTo>
              <a:lnTo>
                <a:pt x="373" y="87"/>
              </a:lnTo>
              <a:lnTo>
                <a:pt x="373" y="82"/>
              </a:lnTo>
              <a:lnTo>
                <a:pt x="372" y="76"/>
              </a:lnTo>
              <a:lnTo>
                <a:pt x="369" y="70"/>
              </a:lnTo>
              <a:lnTo>
                <a:pt x="370" y="66"/>
              </a:lnTo>
              <a:lnTo>
                <a:pt x="370" y="60"/>
              </a:lnTo>
              <a:lnTo>
                <a:pt x="366" y="59"/>
              </a:lnTo>
              <a:lnTo>
                <a:pt x="361" y="58"/>
              </a:lnTo>
              <a:lnTo>
                <a:pt x="357" y="52"/>
              </a:lnTo>
              <a:lnTo>
                <a:pt x="355" y="47"/>
              </a:lnTo>
              <a:lnTo>
                <a:pt x="350" y="44"/>
              </a:lnTo>
              <a:lnTo>
                <a:pt x="346" y="39"/>
              </a:lnTo>
              <a:lnTo>
                <a:pt x="342" y="39"/>
              </a:lnTo>
              <a:lnTo>
                <a:pt x="342" y="38"/>
              </a:lnTo>
              <a:lnTo>
                <a:pt x="338" y="35"/>
              </a:lnTo>
              <a:lnTo>
                <a:pt x="334" y="35"/>
              </a:lnTo>
              <a:lnTo>
                <a:pt x="327" y="27"/>
              </a:lnTo>
              <a:lnTo>
                <a:pt x="309" y="30"/>
              </a:lnTo>
              <a:lnTo>
                <a:pt x="300" y="28"/>
              </a:lnTo>
              <a:lnTo>
                <a:pt x="297" y="34"/>
              </a:lnTo>
              <a:lnTo>
                <a:pt x="293" y="35"/>
              </a:lnTo>
              <a:lnTo>
                <a:pt x="275" y="23"/>
              </a:lnTo>
              <a:lnTo>
                <a:pt x="270" y="16"/>
              </a:lnTo>
              <a:lnTo>
                <a:pt x="218" y="15"/>
              </a:lnTo>
              <a:lnTo>
                <a:pt x="139" y="11"/>
              </a:lnTo>
              <a:lnTo>
                <a:pt x="58" y="6"/>
              </a:lnTo>
              <a:lnTo>
                <a:pt x="9" y="0"/>
              </a:lnTo>
              <a:lnTo>
                <a:pt x="0" y="173"/>
              </a:lnTo>
              <a:lnTo>
                <a:pt x="0" y="173"/>
              </a:lnTo>
              <a:lnTo>
                <a:pt x="0" y="173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94F287D1-D03F-431F-8AEF-61D36186ACAA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NE
7460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473556</xdr:colOff>
      <xdr:row>10</xdr:row>
      <xdr:rowOff>121967</xdr:rowOff>
    </xdr:from>
    <xdr:to>
      <xdr:col>7</xdr:col>
      <xdr:colOff>32647</xdr:colOff>
      <xdr:row>13</xdr:row>
      <xdr:rowOff>155052</xdr:rowOff>
    </xdr:to>
    <xdr:sp macro="" textlink="data!E53">
      <xdr:nvSpPr>
        <xdr:cNvPr id="186" name="SD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>
          <a:spLocks/>
        </xdr:cNvSpPr>
      </xdr:nvSpPr>
      <xdr:spPr bwMode="auto">
        <a:xfrm>
          <a:off x="4131156" y="1741217"/>
          <a:ext cx="778291" cy="518860"/>
        </a:xfrm>
        <a:custGeom>
          <a:avLst/>
          <a:gdLst>
            <a:gd name="T0" fmla="*/ 0 w 358"/>
            <a:gd name="T1" fmla="*/ 253 h 312"/>
            <a:gd name="T2" fmla="*/ 49 w 358"/>
            <a:gd name="T3" fmla="*/ 259 h 312"/>
            <a:gd name="T4" fmla="*/ 130 w 358"/>
            <a:gd name="T5" fmla="*/ 264 h 312"/>
            <a:gd name="T6" fmla="*/ 209 w 358"/>
            <a:gd name="T7" fmla="*/ 268 h 312"/>
            <a:gd name="T8" fmla="*/ 261 w 358"/>
            <a:gd name="T9" fmla="*/ 269 h 312"/>
            <a:gd name="T10" fmla="*/ 266 w 358"/>
            <a:gd name="T11" fmla="*/ 276 h 312"/>
            <a:gd name="T12" fmla="*/ 284 w 358"/>
            <a:gd name="T13" fmla="*/ 288 h 312"/>
            <a:gd name="T14" fmla="*/ 288 w 358"/>
            <a:gd name="T15" fmla="*/ 287 h 312"/>
            <a:gd name="T16" fmla="*/ 291 w 358"/>
            <a:gd name="T17" fmla="*/ 281 h 312"/>
            <a:gd name="T18" fmla="*/ 300 w 358"/>
            <a:gd name="T19" fmla="*/ 283 h 312"/>
            <a:gd name="T20" fmla="*/ 318 w 358"/>
            <a:gd name="T21" fmla="*/ 280 h 312"/>
            <a:gd name="T22" fmla="*/ 325 w 358"/>
            <a:gd name="T23" fmla="*/ 288 h 312"/>
            <a:gd name="T24" fmla="*/ 329 w 358"/>
            <a:gd name="T25" fmla="*/ 288 h 312"/>
            <a:gd name="T26" fmla="*/ 333 w 358"/>
            <a:gd name="T27" fmla="*/ 291 h 312"/>
            <a:gd name="T28" fmla="*/ 333 w 358"/>
            <a:gd name="T29" fmla="*/ 292 h 312"/>
            <a:gd name="T30" fmla="*/ 337 w 358"/>
            <a:gd name="T31" fmla="*/ 292 h 312"/>
            <a:gd name="T32" fmla="*/ 341 w 358"/>
            <a:gd name="T33" fmla="*/ 297 h 312"/>
            <a:gd name="T34" fmla="*/ 346 w 358"/>
            <a:gd name="T35" fmla="*/ 300 h 312"/>
            <a:gd name="T36" fmla="*/ 348 w 358"/>
            <a:gd name="T37" fmla="*/ 305 h 312"/>
            <a:gd name="T38" fmla="*/ 352 w 358"/>
            <a:gd name="T39" fmla="*/ 311 h 312"/>
            <a:gd name="T40" fmla="*/ 357 w 358"/>
            <a:gd name="T41" fmla="*/ 312 h 312"/>
            <a:gd name="T42" fmla="*/ 354 w 358"/>
            <a:gd name="T43" fmla="*/ 300 h 312"/>
            <a:gd name="T44" fmla="*/ 350 w 358"/>
            <a:gd name="T45" fmla="*/ 295 h 312"/>
            <a:gd name="T46" fmla="*/ 349 w 358"/>
            <a:gd name="T47" fmla="*/ 289 h 312"/>
            <a:gd name="T48" fmla="*/ 351 w 358"/>
            <a:gd name="T49" fmla="*/ 284 h 312"/>
            <a:gd name="T50" fmla="*/ 352 w 358"/>
            <a:gd name="T51" fmla="*/ 283 h 312"/>
            <a:gd name="T52" fmla="*/ 356 w 358"/>
            <a:gd name="T53" fmla="*/ 272 h 312"/>
            <a:gd name="T54" fmla="*/ 354 w 358"/>
            <a:gd name="T55" fmla="*/ 267 h 312"/>
            <a:gd name="T56" fmla="*/ 358 w 358"/>
            <a:gd name="T57" fmla="*/ 261 h 312"/>
            <a:gd name="T58" fmla="*/ 358 w 358"/>
            <a:gd name="T59" fmla="*/ 256 h 312"/>
            <a:gd name="T60" fmla="*/ 352 w 358"/>
            <a:gd name="T61" fmla="*/ 251 h 312"/>
            <a:gd name="T62" fmla="*/ 351 w 358"/>
            <a:gd name="T63" fmla="*/ 245 h 312"/>
            <a:gd name="T64" fmla="*/ 353 w 358"/>
            <a:gd name="T65" fmla="*/ 244 h 312"/>
            <a:gd name="T66" fmla="*/ 353 w 358"/>
            <a:gd name="T67" fmla="*/ 237 h 312"/>
            <a:gd name="T68" fmla="*/ 351 w 358"/>
            <a:gd name="T69" fmla="*/ 232 h 312"/>
            <a:gd name="T70" fmla="*/ 350 w 358"/>
            <a:gd name="T71" fmla="*/ 227 h 312"/>
            <a:gd name="T72" fmla="*/ 358 w 358"/>
            <a:gd name="T73" fmla="*/ 227 h 312"/>
            <a:gd name="T74" fmla="*/ 357 w 358"/>
            <a:gd name="T75" fmla="*/ 71 h 312"/>
            <a:gd name="T76" fmla="*/ 353 w 358"/>
            <a:gd name="T77" fmla="*/ 65 h 312"/>
            <a:gd name="T78" fmla="*/ 349 w 358"/>
            <a:gd name="T79" fmla="*/ 63 h 312"/>
            <a:gd name="T80" fmla="*/ 345 w 358"/>
            <a:gd name="T81" fmla="*/ 61 h 312"/>
            <a:gd name="T82" fmla="*/ 341 w 358"/>
            <a:gd name="T83" fmla="*/ 51 h 312"/>
            <a:gd name="T84" fmla="*/ 337 w 358"/>
            <a:gd name="T85" fmla="*/ 45 h 312"/>
            <a:gd name="T86" fmla="*/ 339 w 358"/>
            <a:gd name="T87" fmla="*/ 41 h 312"/>
            <a:gd name="T88" fmla="*/ 343 w 358"/>
            <a:gd name="T89" fmla="*/ 36 h 312"/>
            <a:gd name="T90" fmla="*/ 347 w 358"/>
            <a:gd name="T91" fmla="*/ 33 h 312"/>
            <a:gd name="T92" fmla="*/ 349 w 358"/>
            <a:gd name="T93" fmla="*/ 27 h 312"/>
            <a:gd name="T94" fmla="*/ 351 w 358"/>
            <a:gd name="T95" fmla="*/ 16 h 312"/>
            <a:gd name="T96" fmla="*/ 267 w 358"/>
            <a:gd name="T97" fmla="*/ 15 h 312"/>
            <a:gd name="T98" fmla="*/ 184 w 358"/>
            <a:gd name="T99" fmla="*/ 12 h 312"/>
            <a:gd name="T100" fmla="*/ 95 w 358"/>
            <a:gd name="T101" fmla="*/ 7 h 312"/>
            <a:gd name="T102" fmla="*/ 15 w 358"/>
            <a:gd name="T103" fmla="*/ 0 h 312"/>
            <a:gd name="T104" fmla="*/ 11 w 358"/>
            <a:gd name="T105" fmla="*/ 75 h 312"/>
            <a:gd name="T106" fmla="*/ 9 w 358"/>
            <a:gd name="T107" fmla="*/ 81 h 312"/>
            <a:gd name="T108" fmla="*/ 0 w 358"/>
            <a:gd name="T109" fmla="*/ 253 h 312"/>
            <a:gd name="T110" fmla="*/ 0 w 358"/>
            <a:gd name="T111" fmla="*/ 253 h 312"/>
            <a:gd name="T112" fmla="*/ 0 w 358"/>
            <a:gd name="T113" fmla="*/ 253 h 31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358" h="312">
              <a:moveTo>
                <a:pt x="0" y="253"/>
              </a:moveTo>
              <a:lnTo>
                <a:pt x="49" y="259"/>
              </a:lnTo>
              <a:lnTo>
                <a:pt x="130" y="264"/>
              </a:lnTo>
              <a:lnTo>
                <a:pt x="209" y="268"/>
              </a:lnTo>
              <a:lnTo>
                <a:pt x="261" y="269"/>
              </a:lnTo>
              <a:lnTo>
                <a:pt x="266" y="276"/>
              </a:lnTo>
              <a:lnTo>
                <a:pt x="284" y="288"/>
              </a:lnTo>
              <a:lnTo>
                <a:pt x="288" y="287"/>
              </a:lnTo>
              <a:lnTo>
                <a:pt x="291" y="281"/>
              </a:lnTo>
              <a:lnTo>
                <a:pt x="300" y="283"/>
              </a:lnTo>
              <a:lnTo>
                <a:pt x="318" y="280"/>
              </a:lnTo>
              <a:lnTo>
                <a:pt x="325" y="288"/>
              </a:lnTo>
              <a:lnTo>
                <a:pt x="329" y="288"/>
              </a:lnTo>
              <a:lnTo>
                <a:pt x="333" y="291"/>
              </a:lnTo>
              <a:lnTo>
                <a:pt x="333" y="292"/>
              </a:lnTo>
              <a:lnTo>
                <a:pt x="337" y="292"/>
              </a:lnTo>
              <a:lnTo>
                <a:pt x="341" y="297"/>
              </a:lnTo>
              <a:lnTo>
                <a:pt x="346" y="300"/>
              </a:lnTo>
              <a:lnTo>
                <a:pt x="348" y="305"/>
              </a:lnTo>
              <a:lnTo>
                <a:pt x="352" y="311"/>
              </a:lnTo>
              <a:lnTo>
                <a:pt x="357" y="312"/>
              </a:lnTo>
              <a:lnTo>
                <a:pt x="354" y="300"/>
              </a:lnTo>
              <a:lnTo>
                <a:pt x="350" y="295"/>
              </a:lnTo>
              <a:lnTo>
                <a:pt x="349" y="289"/>
              </a:lnTo>
              <a:lnTo>
                <a:pt x="351" y="284"/>
              </a:lnTo>
              <a:lnTo>
                <a:pt x="352" y="283"/>
              </a:lnTo>
              <a:lnTo>
                <a:pt x="356" y="272"/>
              </a:lnTo>
              <a:lnTo>
                <a:pt x="354" y="267"/>
              </a:lnTo>
              <a:lnTo>
                <a:pt x="358" y="261"/>
              </a:lnTo>
              <a:lnTo>
                <a:pt x="358" y="256"/>
              </a:lnTo>
              <a:lnTo>
                <a:pt x="352" y="251"/>
              </a:lnTo>
              <a:lnTo>
                <a:pt x="351" y="245"/>
              </a:lnTo>
              <a:lnTo>
                <a:pt x="353" y="244"/>
              </a:lnTo>
              <a:lnTo>
                <a:pt x="353" y="237"/>
              </a:lnTo>
              <a:lnTo>
                <a:pt x="351" y="232"/>
              </a:lnTo>
              <a:lnTo>
                <a:pt x="350" y="227"/>
              </a:lnTo>
              <a:lnTo>
                <a:pt x="358" y="227"/>
              </a:lnTo>
              <a:lnTo>
                <a:pt x="357" y="71"/>
              </a:lnTo>
              <a:lnTo>
                <a:pt x="353" y="65"/>
              </a:lnTo>
              <a:lnTo>
                <a:pt x="349" y="63"/>
              </a:lnTo>
              <a:lnTo>
                <a:pt x="345" y="61"/>
              </a:lnTo>
              <a:lnTo>
                <a:pt x="341" y="51"/>
              </a:lnTo>
              <a:lnTo>
                <a:pt x="337" y="45"/>
              </a:lnTo>
              <a:lnTo>
                <a:pt x="339" y="41"/>
              </a:lnTo>
              <a:lnTo>
                <a:pt x="343" y="36"/>
              </a:lnTo>
              <a:lnTo>
                <a:pt x="347" y="33"/>
              </a:lnTo>
              <a:lnTo>
                <a:pt x="349" y="27"/>
              </a:lnTo>
              <a:lnTo>
                <a:pt x="351" y="16"/>
              </a:lnTo>
              <a:lnTo>
                <a:pt x="267" y="15"/>
              </a:lnTo>
              <a:lnTo>
                <a:pt x="184" y="12"/>
              </a:lnTo>
              <a:lnTo>
                <a:pt x="95" y="7"/>
              </a:lnTo>
              <a:lnTo>
                <a:pt x="15" y="0"/>
              </a:lnTo>
              <a:lnTo>
                <a:pt x="11" y="75"/>
              </a:lnTo>
              <a:lnTo>
                <a:pt x="9" y="81"/>
              </a:lnTo>
              <a:lnTo>
                <a:pt x="0" y="253"/>
              </a:lnTo>
              <a:lnTo>
                <a:pt x="0" y="253"/>
              </a:lnTo>
              <a:lnTo>
                <a:pt x="0" y="253"/>
              </a:lnTo>
              <a:close/>
            </a:path>
          </a:pathLst>
        </a:custGeom>
        <a:solidFill>
          <a:srgbClr val="E34A33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50D5CB31-0F70-4567-B56C-1AAC8FA5E660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SD
9977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499074</xdr:colOff>
      <xdr:row>8</xdr:row>
      <xdr:rowOff>3510</xdr:rowOff>
    </xdr:from>
    <xdr:to>
      <xdr:col>7</xdr:col>
      <xdr:colOff>19888</xdr:colOff>
      <xdr:row>10</xdr:row>
      <xdr:rowOff>147485</xdr:rowOff>
    </xdr:to>
    <xdr:sp macro="" textlink="data!E39">
      <xdr:nvSpPr>
        <xdr:cNvPr id="187" name="ND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>
          <a:spLocks/>
        </xdr:cNvSpPr>
      </xdr:nvSpPr>
      <xdr:spPr bwMode="auto">
        <a:xfrm>
          <a:off x="4156674" y="1298910"/>
          <a:ext cx="740014" cy="467825"/>
        </a:xfrm>
        <a:custGeom>
          <a:avLst/>
          <a:gdLst>
            <a:gd name="T0" fmla="*/ 0 w 336"/>
            <a:gd name="T1" fmla="*/ 260 h 276"/>
            <a:gd name="T2" fmla="*/ 80 w 336"/>
            <a:gd name="T3" fmla="*/ 267 h 276"/>
            <a:gd name="T4" fmla="*/ 169 w 336"/>
            <a:gd name="T5" fmla="*/ 272 h 276"/>
            <a:gd name="T6" fmla="*/ 252 w 336"/>
            <a:gd name="T7" fmla="*/ 275 h 276"/>
            <a:gd name="T8" fmla="*/ 336 w 336"/>
            <a:gd name="T9" fmla="*/ 276 h 276"/>
            <a:gd name="T10" fmla="*/ 336 w 336"/>
            <a:gd name="T11" fmla="*/ 269 h 276"/>
            <a:gd name="T12" fmla="*/ 336 w 336"/>
            <a:gd name="T13" fmla="*/ 264 h 276"/>
            <a:gd name="T14" fmla="*/ 335 w 336"/>
            <a:gd name="T15" fmla="*/ 253 h 276"/>
            <a:gd name="T16" fmla="*/ 335 w 336"/>
            <a:gd name="T17" fmla="*/ 248 h 276"/>
            <a:gd name="T18" fmla="*/ 334 w 336"/>
            <a:gd name="T19" fmla="*/ 243 h 276"/>
            <a:gd name="T20" fmla="*/ 329 w 336"/>
            <a:gd name="T21" fmla="*/ 233 h 276"/>
            <a:gd name="T22" fmla="*/ 328 w 336"/>
            <a:gd name="T23" fmla="*/ 228 h 276"/>
            <a:gd name="T24" fmla="*/ 328 w 336"/>
            <a:gd name="T25" fmla="*/ 223 h 276"/>
            <a:gd name="T26" fmla="*/ 326 w 336"/>
            <a:gd name="T27" fmla="*/ 217 h 276"/>
            <a:gd name="T28" fmla="*/ 326 w 336"/>
            <a:gd name="T29" fmla="*/ 196 h 276"/>
            <a:gd name="T30" fmla="*/ 326 w 336"/>
            <a:gd name="T31" fmla="*/ 191 h 276"/>
            <a:gd name="T32" fmla="*/ 324 w 336"/>
            <a:gd name="T33" fmla="*/ 185 h 276"/>
            <a:gd name="T34" fmla="*/ 324 w 336"/>
            <a:gd name="T35" fmla="*/ 177 h 276"/>
            <a:gd name="T36" fmla="*/ 323 w 336"/>
            <a:gd name="T37" fmla="*/ 165 h 276"/>
            <a:gd name="T38" fmla="*/ 323 w 336"/>
            <a:gd name="T39" fmla="*/ 155 h 276"/>
            <a:gd name="T40" fmla="*/ 322 w 336"/>
            <a:gd name="T41" fmla="*/ 149 h 276"/>
            <a:gd name="T42" fmla="*/ 323 w 336"/>
            <a:gd name="T43" fmla="*/ 144 h 276"/>
            <a:gd name="T44" fmla="*/ 323 w 336"/>
            <a:gd name="T45" fmla="*/ 137 h 276"/>
            <a:gd name="T46" fmla="*/ 321 w 336"/>
            <a:gd name="T47" fmla="*/ 125 h 276"/>
            <a:gd name="T48" fmla="*/ 315 w 336"/>
            <a:gd name="T49" fmla="*/ 109 h 276"/>
            <a:gd name="T50" fmla="*/ 316 w 336"/>
            <a:gd name="T51" fmla="*/ 107 h 276"/>
            <a:gd name="T52" fmla="*/ 311 w 336"/>
            <a:gd name="T53" fmla="*/ 88 h 276"/>
            <a:gd name="T54" fmla="*/ 310 w 336"/>
            <a:gd name="T55" fmla="*/ 83 h 276"/>
            <a:gd name="T56" fmla="*/ 311 w 336"/>
            <a:gd name="T57" fmla="*/ 72 h 276"/>
            <a:gd name="T58" fmla="*/ 310 w 336"/>
            <a:gd name="T59" fmla="*/ 68 h 276"/>
            <a:gd name="T60" fmla="*/ 311 w 336"/>
            <a:gd name="T61" fmla="*/ 63 h 276"/>
            <a:gd name="T62" fmla="*/ 310 w 336"/>
            <a:gd name="T63" fmla="*/ 54 h 276"/>
            <a:gd name="T64" fmla="*/ 312 w 336"/>
            <a:gd name="T65" fmla="*/ 43 h 276"/>
            <a:gd name="T66" fmla="*/ 310 w 336"/>
            <a:gd name="T67" fmla="*/ 38 h 276"/>
            <a:gd name="T68" fmla="*/ 308 w 336"/>
            <a:gd name="T69" fmla="*/ 22 h 276"/>
            <a:gd name="T70" fmla="*/ 306 w 336"/>
            <a:gd name="T71" fmla="*/ 18 h 276"/>
            <a:gd name="T72" fmla="*/ 306 w 336"/>
            <a:gd name="T73" fmla="*/ 16 h 276"/>
            <a:gd name="T74" fmla="*/ 307 w 336"/>
            <a:gd name="T75" fmla="*/ 14 h 276"/>
            <a:gd name="T76" fmla="*/ 269 w 336"/>
            <a:gd name="T77" fmla="*/ 14 h 276"/>
            <a:gd name="T78" fmla="*/ 182 w 336"/>
            <a:gd name="T79" fmla="*/ 11 h 276"/>
            <a:gd name="T80" fmla="*/ 81 w 336"/>
            <a:gd name="T81" fmla="*/ 6 h 276"/>
            <a:gd name="T82" fmla="*/ 13 w 336"/>
            <a:gd name="T83" fmla="*/ 0 h 276"/>
            <a:gd name="T84" fmla="*/ 13 w 336"/>
            <a:gd name="T85" fmla="*/ 2 h 276"/>
            <a:gd name="T86" fmla="*/ 0 w 336"/>
            <a:gd name="T87" fmla="*/ 260 h 276"/>
            <a:gd name="T88" fmla="*/ 0 w 336"/>
            <a:gd name="T89" fmla="*/ 260 h 276"/>
            <a:gd name="T90" fmla="*/ 0 w 336"/>
            <a:gd name="T91" fmla="*/ 260 h 27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36" h="276">
              <a:moveTo>
                <a:pt x="0" y="260"/>
              </a:moveTo>
              <a:lnTo>
                <a:pt x="80" y="267"/>
              </a:lnTo>
              <a:lnTo>
                <a:pt x="169" y="272"/>
              </a:lnTo>
              <a:lnTo>
                <a:pt x="252" y="275"/>
              </a:lnTo>
              <a:lnTo>
                <a:pt x="336" y="276"/>
              </a:lnTo>
              <a:lnTo>
                <a:pt x="336" y="269"/>
              </a:lnTo>
              <a:lnTo>
                <a:pt x="336" y="264"/>
              </a:lnTo>
              <a:lnTo>
                <a:pt x="335" y="253"/>
              </a:lnTo>
              <a:lnTo>
                <a:pt x="335" y="248"/>
              </a:lnTo>
              <a:lnTo>
                <a:pt x="334" y="243"/>
              </a:lnTo>
              <a:lnTo>
                <a:pt x="329" y="233"/>
              </a:lnTo>
              <a:lnTo>
                <a:pt x="328" y="228"/>
              </a:lnTo>
              <a:lnTo>
                <a:pt x="328" y="223"/>
              </a:lnTo>
              <a:lnTo>
                <a:pt x="326" y="217"/>
              </a:lnTo>
              <a:lnTo>
                <a:pt x="326" y="196"/>
              </a:lnTo>
              <a:lnTo>
                <a:pt x="326" y="191"/>
              </a:lnTo>
              <a:lnTo>
                <a:pt x="324" y="185"/>
              </a:lnTo>
              <a:lnTo>
                <a:pt x="324" y="177"/>
              </a:lnTo>
              <a:lnTo>
                <a:pt x="323" y="165"/>
              </a:lnTo>
              <a:lnTo>
                <a:pt x="323" y="155"/>
              </a:lnTo>
              <a:lnTo>
                <a:pt x="322" y="149"/>
              </a:lnTo>
              <a:lnTo>
                <a:pt x="323" y="144"/>
              </a:lnTo>
              <a:lnTo>
                <a:pt x="323" y="137"/>
              </a:lnTo>
              <a:lnTo>
                <a:pt x="321" y="125"/>
              </a:lnTo>
              <a:lnTo>
                <a:pt x="315" y="109"/>
              </a:lnTo>
              <a:lnTo>
                <a:pt x="316" y="107"/>
              </a:lnTo>
              <a:lnTo>
                <a:pt x="311" y="88"/>
              </a:lnTo>
              <a:lnTo>
                <a:pt x="310" y="83"/>
              </a:lnTo>
              <a:lnTo>
                <a:pt x="311" y="72"/>
              </a:lnTo>
              <a:lnTo>
                <a:pt x="310" y="68"/>
              </a:lnTo>
              <a:lnTo>
                <a:pt x="311" y="63"/>
              </a:lnTo>
              <a:lnTo>
                <a:pt x="310" y="54"/>
              </a:lnTo>
              <a:lnTo>
                <a:pt x="312" y="43"/>
              </a:lnTo>
              <a:lnTo>
                <a:pt x="310" y="38"/>
              </a:lnTo>
              <a:lnTo>
                <a:pt x="308" y="22"/>
              </a:lnTo>
              <a:lnTo>
                <a:pt x="306" y="18"/>
              </a:lnTo>
              <a:lnTo>
                <a:pt x="306" y="16"/>
              </a:lnTo>
              <a:lnTo>
                <a:pt x="307" y="14"/>
              </a:lnTo>
              <a:lnTo>
                <a:pt x="269" y="14"/>
              </a:lnTo>
              <a:lnTo>
                <a:pt x="182" y="11"/>
              </a:lnTo>
              <a:lnTo>
                <a:pt x="81" y="6"/>
              </a:lnTo>
              <a:lnTo>
                <a:pt x="13" y="0"/>
              </a:lnTo>
              <a:lnTo>
                <a:pt x="13" y="2"/>
              </a:lnTo>
              <a:lnTo>
                <a:pt x="0" y="260"/>
              </a:lnTo>
              <a:lnTo>
                <a:pt x="0" y="260"/>
              </a:lnTo>
              <a:lnTo>
                <a:pt x="0" y="260"/>
              </a:lnTo>
              <a:close/>
            </a:path>
          </a:pathLst>
        </a:custGeom>
        <a:solidFill>
          <a:srgbClr val="B30000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1405F2EB-CD99-4E27-8843-E2D5E2987F2D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ND
11408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511832</xdr:colOff>
      <xdr:row>18</xdr:row>
      <xdr:rowOff>115212</xdr:rowOff>
    </xdr:from>
    <xdr:to>
      <xdr:col>7</xdr:col>
      <xdr:colOff>262306</xdr:colOff>
      <xdr:row>21</xdr:row>
      <xdr:rowOff>148297</xdr:rowOff>
    </xdr:to>
    <xdr:sp macro="" textlink="data!E47">
      <xdr:nvSpPr>
        <xdr:cNvPr id="188" name="OK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>
          <a:spLocks/>
        </xdr:cNvSpPr>
      </xdr:nvSpPr>
      <xdr:spPr bwMode="auto">
        <a:xfrm>
          <a:off x="4169432" y="3029862"/>
          <a:ext cx="969674" cy="518860"/>
        </a:xfrm>
        <a:custGeom>
          <a:avLst/>
          <a:gdLst>
            <a:gd name="T0" fmla="*/ 70 w 444"/>
            <a:gd name="T1" fmla="*/ 49 h 302"/>
            <a:gd name="T2" fmla="*/ 145 w 444"/>
            <a:gd name="T3" fmla="*/ 53 h 302"/>
            <a:gd name="T4" fmla="*/ 154 w 444"/>
            <a:gd name="T5" fmla="*/ 57 h 302"/>
            <a:gd name="T6" fmla="*/ 150 w 444"/>
            <a:gd name="T7" fmla="*/ 220 h 302"/>
            <a:gd name="T8" fmla="*/ 158 w 444"/>
            <a:gd name="T9" fmla="*/ 225 h 302"/>
            <a:gd name="T10" fmla="*/ 169 w 444"/>
            <a:gd name="T11" fmla="*/ 238 h 302"/>
            <a:gd name="T12" fmla="*/ 178 w 444"/>
            <a:gd name="T13" fmla="*/ 238 h 302"/>
            <a:gd name="T14" fmla="*/ 184 w 444"/>
            <a:gd name="T15" fmla="*/ 232 h 302"/>
            <a:gd name="T16" fmla="*/ 189 w 444"/>
            <a:gd name="T17" fmla="*/ 237 h 302"/>
            <a:gd name="T18" fmla="*/ 192 w 444"/>
            <a:gd name="T19" fmla="*/ 248 h 302"/>
            <a:gd name="T20" fmla="*/ 197 w 444"/>
            <a:gd name="T21" fmla="*/ 254 h 302"/>
            <a:gd name="T22" fmla="*/ 203 w 444"/>
            <a:gd name="T23" fmla="*/ 253 h 302"/>
            <a:gd name="T24" fmla="*/ 216 w 444"/>
            <a:gd name="T25" fmla="*/ 261 h 302"/>
            <a:gd name="T26" fmla="*/ 224 w 444"/>
            <a:gd name="T27" fmla="*/ 260 h 302"/>
            <a:gd name="T28" fmla="*/ 230 w 444"/>
            <a:gd name="T29" fmla="*/ 268 h 302"/>
            <a:gd name="T30" fmla="*/ 238 w 444"/>
            <a:gd name="T31" fmla="*/ 261 h 302"/>
            <a:gd name="T32" fmla="*/ 251 w 444"/>
            <a:gd name="T33" fmla="*/ 262 h 302"/>
            <a:gd name="T34" fmla="*/ 253 w 444"/>
            <a:gd name="T35" fmla="*/ 273 h 302"/>
            <a:gd name="T36" fmla="*/ 258 w 444"/>
            <a:gd name="T37" fmla="*/ 277 h 302"/>
            <a:gd name="T38" fmla="*/ 262 w 444"/>
            <a:gd name="T39" fmla="*/ 286 h 302"/>
            <a:gd name="T40" fmla="*/ 273 w 444"/>
            <a:gd name="T41" fmla="*/ 276 h 302"/>
            <a:gd name="T42" fmla="*/ 279 w 444"/>
            <a:gd name="T43" fmla="*/ 282 h 302"/>
            <a:gd name="T44" fmla="*/ 284 w 444"/>
            <a:gd name="T45" fmla="*/ 288 h 302"/>
            <a:gd name="T46" fmla="*/ 295 w 444"/>
            <a:gd name="T47" fmla="*/ 285 h 302"/>
            <a:gd name="T48" fmla="*/ 297 w 444"/>
            <a:gd name="T49" fmla="*/ 290 h 302"/>
            <a:gd name="T50" fmla="*/ 300 w 444"/>
            <a:gd name="T51" fmla="*/ 297 h 302"/>
            <a:gd name="T52" fmla="*/ 304 w 444"/>
            <a:gd name="T53" fmla="*/ 286 h 302"/>
            <a:gd name="T54" fmla="*/ 309 w 444"/>
            <a:gd name="T55" fmla="*/ 278 h 302"/>
            <a:gd name="T56" fmla="*/ 314 w 444"/>
            <a:gd name="T57" fmla="*/ 280 h 302"/>
            <a:gd name="T58" fmla="*/ 322 w 444"/>
            <a:gd name="T59" fmla="*/ 288 h 302"/>
            <a:gd name="T60" fmla="*/ 330 w 444"/>
            <a:gd name="T61" fmla="*/ 284 h 302"/>
            <a:gd name="T62" fmla="*/ 338 w 444"/>
            <a:gd name="T63" fmla="*/ 293 h 302"/>
            <a:gd name="T64" fmla="*/ 346 w 444"/>
            <a:gd name="T65" fmla="*/ 300 h 302"/>
            <a:gd name="T66" fmla="*/ 353 w 444"/>
            <a:gd name="T67" fmla="*/ 294 h 302"/>
            <a:gd name="T68" fmla="*/ 362 w 444"/>
            <a:gd name="T69" fmla="*/ 286 h 302"/>
            <a:gd name="T70" fmla="*/ 370 w 444"/>
            <a:gd name="T71" fmla="*/ 286 h 302"/>
            <a:gd name="T72" fmla="*/ 378 w 444"/>
            <a:gd name="T73" fmla="*/ 282 h 302"/>
            <a:gd name="T74" fmla="*/ 390 w 444"/>
            <a:gd name="T75" fmla="*/ 284 h 302"/>
            <a:gd name="T76" fmla="*/ 397 w 444"/>
            <a:gd name="T77" fmla="*/ 285 h 302"/>
            <a:gd name="T78" fmla="*/ 402 w 444"/>
            <a:gd name="T79" fmla="*/ 277 h 302"/>
            <a:gd name="T80" fmla="*/ 416 w 444"/>
            <a:gd name="T81" fmla="*/ 285 h 302"/>
            <a:gd name="T82" fmla="*/ 428 w 444"/>
            <a:gd name="T83" fmla="*/ 296 h 302"/>
            <a:gd name="T84" fmla="*/ 444 w 444"/>
            <a:gd name="T85" fmla="*/ 302 h 302"/>
            <a:gd name="T86" fmla="*/ 441 w 444"/>
            <a:gd name="T87" fmla="*/ 128 h 302"/>
            <a:gd name="T88" fmla="*/ 431 w 444"/>
            <a:gd name="T89" fmla="*/ 12 h 302"/>
            <a:gd name="T90" fmla="*/ 249 w 444"/>
            <a:gd name="T91" fmla="*/ 13 h 302"/>
            <a:gd name="T92" fmla="*/ 52 w 444"/>
            <a:gd name="T93" fmla="*/ 5 h 302"/>
            <a:gd name="T94" fmla="*/ 0 w 444"/>
            <a:gd name="T95" fmla="*/ 44 h 302"/>
            <a:gd name="T96" fmla="*/ 0 w 444"/>
            <a:gd name="T97" fmla="*/ 44 h 3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</a:cxnLst>
          <a:rect l="0" t="0" r="r" b="b"/>
          <a:pathLst>
            <a:path w="444" h="302">
              <a:moveTo>
                <a:pt x="0" y="44"/>
              </a:moveTo>
              <a:lnTo>
                <a:pt x="70" y="49"/>
              </a:lnTo>
              <a:lnTo>
                <a:pt x="123" y="53"/>
              </a:lnTo>
              <a:lnTo>
                <a:pt x="145" y="53"/>
              </a:lnTo>
              <a:lnTo>
                <a:pt x="149" y="53"/>
              </a:lnTo>
              <a:lnTo>
                <a:pt x="154" y="57"/>
              </a:lnTo>
              <a:lnTo>
                <a:pt x="150" y="210"/>
              </a:lnTo>
              <a:lnTo>
                <a:pt x="150" y="220"/>
              </a:lnTo>
              <a:lnTo>
                <a:pt x="154" y="221"/>
              </a:lnTo>
              <a:lnTo>
                <a:pt x="158" y="225"/>
              </a:lnTo>
              <a:lnTo>
                <a:pt x="165" y="236"/>
              </a:lnTo>
              <a:lnTo>
                <a:pt x="169" y="238"/>
              </a:lnTo>
              <a:lnTo>
                <a:pt x="173" y="236"/>
              </a:lnTo>
              <a:lnTo>
                <a:pt x="178" y="238"/>
              </a:lnTo>
              <a:lnTo>
                <a:pt x="182" y="237"/>
              </a:lnTo>
              <a:lnTo>
                <a:pt x="184" y="232"/>
              </a:lnTo>
              <a:lnTo>
                <a:pt x="185" y="234"/>
              </a:lnTo>
              <a:lnTo>
                <a:pt x="189" y="237"/>
              </a:lnTo>
              <a:lnTo>
                <a:pt x="192" y="242"/>
              </a:lnTo>
              <a:lnTo>
                <a:pt x="192" y="248"/>
              </a:lnTo>
              <a:lnTo>
                <a:pt x="193" y="254"/>
              </a:lnTo>
              <a:lnTo>
                <a:pt x="197" y="254"/>
              </a:lnTo>
              <a:lnTo>
                <a:pt x="199" y="254"/>
              </a:lnTo>
              <a:lnTo>
                <a:pt x="203" y="253"/>
              </a:lnTo>
              <a:lnTo>
                <a:pt x="208" y="257"/>
              </a:lnTo>
              <a:lnTo>
                <a:pt x="216" y="261"/>
              </a:lnTo>
              <a:lnTo>
                <a:pt x="220" y="260"/>
              </a:lnTo>
              <a:lnTo>
                <a:pt x="224" y="260"/>
              </a:lnTo>
              <a:lnTo>
                <a:pt x="226" y="264"/>
              </a:lnTo>
              <a:lnTo>
                <a:pt x="230" y="268"/>
              </a:lnTo>
              <a:lnTo>
                <a:pt x="234" y="265"/>
              </a:lnTo>
              <a:lnTo>
                <a:pt x="238" y="261"/>
              </a:lnTo>
              <a:lnTo>
                <a:pt x="246" y="262"/>
              </a:lnTo>
              <a:lnTo>
                <a:pt x="251" y="262"/>
              </a:lnTo>
              <a:lnTo>
                <a:pt x="250" y="268"/>
              </a:lnTo>
              <a:lnTo>
                <a:pt x="253" y="273"/>
              </a:lnTo>
              <a:lnTo>
                <a:pt x="257" y="274"/>
              </a:lnTo>
              <a:lnTo>
                <a:pt x="258" y="277"/>
              </a:lnTo>
              <a:lnTo>
                <a:pt x="258" y="285"/>
              </a:lnTo>
              <a:lnTo>
                <a:pt x="262" y="286"/>
              </a:lnTo>
              <a:lnTo>
                <a:pt x="266" y="284"/>
              </a:lnTo>
              <a:lnTo>
                <a:pt x="273" y="276"/>
              </a:lnTo>
              <a:lnTo>
                <a:pt x="277" y="277"/>
              </a:lnTo>
              <a:lnTo>
                <a:pt x="279" y="282"/>
              </a:lnTo>
              <a:lnTo>
                <a:pt x="283" y="282"/>
              </a:lnTo>
              <a:lnTo>
                <a:pt x="284" y="288"/>
              </a:lnTo>
              <a:lnTo>
                <a:pt x="288" y="289"/>
              </a:lnTo>
              <a:lnTo>
                <a:pt x="295" y="285"/>
              </a:lnTo>
              <a:lnTo>
                <a:pt x="299" y="285"/>
              </a:lnTo>
              <a:lnTo>
                <a:pt x="297" y="290"/>
              </a:lnTo>
              <a:lnTo>
                <a:pt x="299" y="296"/>
              </a:lnTo>
              <a:lnTo>
                <a:pt x="300" y="297"/>
              </a:lnTo>
              <a:lnTo>
                <a:pt x="303" y="297"/>
              </a:lnTo>
              <a:lnTo>
                <a:pt x="304" y="286"/>
              </a:lnTo>
              <a:lnTo>
                <a:pt x="309" y="282"/>
              </a:lnTo>
              <a:lnTo>
                <a:pt x="309" y="278"/>
              </a:lnTo>
              <a:lnTo>
                <a:pt x="310" y="278"/>
              </a:lnTo>
              <a:lnTo>
                <a:pt x="314" y="280"/>
              </a:lnTo>
              <a:lnTo>
                <a:pt x="318" y="285"/>
              </a:lnTo>
              <a:lnTo>
                <a:pt x="322" y="288"/>
              </a:lnTo>
              <a:lnTo>
                <a:pt x="326" y="284"/>
              </a:lnTo>
              <a:lnTo>
                <a:pt x="330" y="284"/>
              </a:lnTo>
              <a:lnTo>
                <a:pt x="334" y="289"/>
              </a:lnTo>
              <a:lnTo>
                <a:pt x="338" y="293"/>
              </a:lnTo>
              <a:lnTo>
                <a:pt x="342" y="294"/>
              </a:lnTo>
              <a:lnTo>
                <a:pt x="346" y="300"/>
              </a:lnTo>
              <a:lnTo>
                <a:pt x="348" y="294"/>
              </a:lnTo>
              <a:lnTo>
                <a:pt x="353" y="294"/>
              </a:lnTo>
              <a:lnTo>
                <a:pt x="357" y="288"/>
              </a:lnTo>
              <a:lnTo>
                <a:pt x="362" y="286"/>
              </a:lnTo>
              <a:lnTo>
                <a:pt x="366" y="282"/>
              </a:lnTo>
              <a:lnTo>
                <a:pt x="370" y="286"/>
              </a:lnTo>
              <a:lnTo>
                <a:pt x="374" y="286"/>
              </a:lnTo>
              <a:lnTo>
                <a:pt x="378" y="282"/>
              </a:lnTo>
              <a:lnTo>
                <a:pt x="386" y="278"/>
              </a:lnTo>
              <a:lnTo>
                <a:pt x="390" y="284"/>
              </a:lnTo>
              <a:lnTo>
                <a:pt x="393" y="285"/>
              </a:lnTo>
              <a:lnTo>
                <a:pt x="397" y="285"/>
              </a:lnTo>
              <a:lnTo>
                <a:pt x="400" y="282"/>
              </a:lnTo>
              <a:lnTo>
                <a:pt x="402" y="277"/>
              </a:lnTo>
              <a:lnTo>
                <a:pt x="406" y="277"/>
              </a:lnTo>
              <a:lnTo>
                <a:pt x="416" y="285"/>
              </a:lnTo>
              <a:lnTo>
                <a:pt x="424" y="294"/>
              </a:lnTo>
              <a:lnTo>
                <a:pt x="428" y="296"/>
              </a:lnTo>
              <a:lnTo>
                <a:pt x="432" y="298"/>
              </a:lnTo>
              <a:lnTo>
                <a:pt x="444" y="302"/>
              </a:lnTo>
              <a:lnTo>
                <a:pt x="443" y="152"/>
              </a:lnTo>
              <a:lnTo>
                <a:pt x="441" y="128"/>
              </a:lnTo>
              <a:lnTo>
                <a:pt x="432" y="55"/>
              </a:lnTo>
              <a:lnTo>
                <a:pt x="431" y="12"/>
              </a:lnTo>
              <a:lnTo>
                <a:pt x="367" y="13"/>
              </a:lnTo>
              <a:lnTo>
                <a:pt x="249" y="13"/>
              </a:lnTo>
              <a:lnTo>
                <a:pt x="133" y="9"/>
              </a:lnTo>
              <a:lnTo>
                <a:pt x="52" y="5"/>
              </a:lnTo>
              <a:lnTo>
                <a:pt x="1" y="0"/>
              </a:lnTo>
              <a:lnTo>
                <a:pt x="0" y="44"/>
              </a:lnTo>
              <a:lnTo>
                <a:pt x="0" y="44"/>
              </a:lnTo>
              <a:lnTo>
                <a:pt x="0" y="44"/>
              </a:lnTo>
              <a:close/>
            </a:path>
          </a:pathLst>
        </a:custGeom>
        <a:solidFill>
          <a:srgbClr val="FC8D59"/>
        </a:solidFill>
        <a:ln w="9525" cap="flat" cmpd="sng">
          <a:solidFill>
            <a:srgbClr val="FFFF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wrap="none" anchor="ctr"/>
        <a:lstStyle/>
        <a:p>
          <a:pPr algn="ctr"/>
          <a:fld id="{42D3562C-5291-45E8-9D62-5FDE9209D729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OK
5793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17062</xdr:colOff>
      <xdr:row>16</xdr:row>
      <xdr:rowOff>22273</xdr:rowOff>
    </xdr:from>
    <xdr:to>
      <xdr:col>7</xdr:col>
      <xdr:colOff>236788</xdr:colOff>
      <xdr:row>18</xdr:row>
      <xdr:rowOff>140730</xdr:rowOff>
    </xdr:to>
    <xdr:sp macro="" textlink="data!E27">
      <xdr:nvSpPr>
        <xdr:cNvPr id="189" name="KS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>
          <a:spLocks/>
        </xdr:cNvSpPr>
      </xdr:nvSpPr>
      <xdr:spPr bwMode="auto">
        <a:xfrm>
          <a:off x="4284262" y="2613073"/>
          <a:ext cx="829326" cy="442307"/>
        </a:xfrm>
        <a:custGeom>
          <a:avLst/>
          <a:gdLst>
            <a:gd name="T0" fmla="*/ 0 w 379"/>
            <a:gd name="T1" fmla="*/ 261 h 269"/>
            <a:gd name="T2" fmla="*/ 81 w 379"/>
            <a:gd name="T3" fmla="*/ 265 h 269"/>
            <a:gd name="T4" fmla="*/ 197 w 379"/>
            <a:gd name="T5" fmla="*/ 269 h 269"/>
            <a:gd name="T6" fmla="*/ 315 w 379"/>
            <a:gd name="T7" fmla="*/ 269 h 269"/>
            <a:gd name="T8" fmla="*/ 379 w 379"/>
            <a:gd name="T9" fmla="*/ 268 h 269"/>
            <a:gd name="T10" fmla="*/ 376 w 379"/>
            <a:gd name="T11" fmla="*/ 83 h 269"/>
            <a:gd name="T12" fmla="*/ 371 w 379"/>
            <a:gd name="T13" fmla="*/ 79 h 269"/>
            <a:gd name="T14" fmla="*/ 368 w 379"/>
            <a:gd name="T15" fmla="*/ 77 h 269"/>
            <a:gd name="T16" fmla="*/ 361 w 379"/>
            <a:gd name="T17" fmla="*/ 67 h 269"/>
            <a:gd name="T18" fmla="*/ 361 w 379"/>
            <a:gd name="T19" fmla="*/ 61 h 269"/>
            <a:gd name="T20" fmla="*/ 357 w 379"/>
            <a:gd name="T21" fmla="*/ 57 h 269"/>
            <a:gd name="T22" fmla="*/ 353 w 379"/>
            <a:gd name="T23" fmla="*/ 49 h 269"/>
            <a:gd name="T24" fmla="*/ 351 w 379"/>
            <a:gd name="T25" fmla="*/ 44 h 269"/>
            <a:gd name="T26" fmla="*/ 356 w 379"/>
            <a:gd name="T27" fmla="*/ 36 h 269"/>
            <a:gd name="T28" fmla="*/ 358 w 379"/>
            <a:gd name="T29" fmla="*/ 31 h 269"/>
            <a:gd name="T30" fmla="*/ 362 w 379"/>
            <a:gd name="T31" fmla="*/ 31 h 269"/>
            <a:gd name="T32" fmla="*/ 362 w 379"/>
            <a:gd name="T33" fmla="*/ 29 h 269"/>
            <a:gd name="T34" fmla="*/ 361 w 379"/>
            <a:gd name="T35" fmla="*/ 23 h 269"/>
            <a:gd name="T36" fmla="*/ 359 w 379"/>
            <a:gd name="T37" fmla="*/ 17 h 269"/>
            <a:gd name="T38" fmla="*/ 356 w 379"/>
            <a:gd name="T39" fmla="*/ 16 h 269"/>
            <a:gd name="T40" fmla="*/ 352 w 379"/>
            <a:gd name="T41" fmla="*/ 20 h 269"/>
            <a:gd name="T42" fmla="*/ 340 w 379"/>
            <a:gd name="T43" fmla="*/ 8 h 269"/>
            <a:gd name="T44" fmla="*/ 256 w 379"/>
            <a:gd name="T45" fmla="*/ 9 h 269"/>
            <a:gd name="T46" fmla="*/ 193 w 379"/>
            <a:gd name="T47" fmla="*/ 8 h 269"/>
            <a:gd name="T48" fmla="*/ 72 w 379"/>
            <a:gd name="T49" fmla="*/ 4 h 269"/>
            <a:gd name="T50" fmla="*/ 9 w 379"/>
            <a:gd name="T51" fmla="*/ 0 h 269"/>
            <a:gd name="T52" fmla="*/ 0 w 379"/>
            <a:gd name="T53" fmla="*/ 261 h 269"/>
            <a:gd name="T54" fmla="*/ 0 w 379"/>
            <a:gd name="T55" fmla="*/ 261 h 269"/>
            <a:gd name="T56" fmla="*/ 0 w 379"/>
            <a:gd name="T57" fmla="*/ 261 h 26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379" h="269">
              <a:moveTo>
                <a:pt x="0" y="261"/>
              </a:moveTo>
              <a:lnTo>
                <a:pt x="81" y="265"/>
              </a:lnTo>
              <a:lnTo>
                <a:pt x="197" y="269"/>
              </a:lnTo>
              <a:lnTo>
                <a:pt x="315" y="269"/>
              </a:lnTo>
              <a:lnTo>
                <a:pt x="379" y="268"/>
              </a:lnTo>
              <a:lnTo>
                <a:pt x="376" y="83"/>
              </a:lnTo>
              <a:lnTo>
                <a:pt x="371" y="79"/>
              </a:lnTo>
              <a:lnTo>
                <a:pt x="368" y="77"/>
              </a:lnTo>
              <a:lnTo>
                <a:pt x="361" y="67"/>
              </a:lnTo>
              <a:lnTo>
                <a:pt x="361" y="61"/>
              </a:lnTo>
              <a:lnTo>
                <a:pt x="357" y="57"/>
              </a:lnTo>
              <a:lnTo>
                <a:pt x="353" y="49"/>
              </a:lnTo>
              <a:lnTo>
                <a:pt x="351" y="44"/>
              </a:lnTo>
              <a:lnTo>
                <a:pt x="356" y="36"/>
              </a:lnTo>
              <a:lnTo>
                <a:pt x="358" y="31"/>
              </a:lnTo>
              <a:lnTo>
                <a:pt x="362" y="31"/>
              </a:lnTo>
              <a:lnTo>
                <a:pt x="362" y="29"/>
              </a:lnTo>
              <a:lnTo>
                <a:pt x="361" y="23"/>
              </a:lnTo>
              <a:lnTo>
                <a:pt x="359" y="17"/>
              </a:lnTo>
              <a:lnTo>
                <a:pt x="356" y="16"/>
              </a:lnTo>
              <a:lnTo>
                <a:pt x="352" y="20"/>
              </a:lnTo>
              <a:lnTo>
                <a:pt x="340" y="8"/>
              </a:lnTo>
              <a:lnTo>
                <a:pt x="256" y="9"/>
              </a:lnTo>
              <a:lnTo>
                <a:pt x="193" y="8"/>
              </a:lnTo>
              <a:lnTo>
                <a:pt x="72" y="4"/>
              </a:lnTo>
              <a:lnTo>
                <a:pt x="9" y="0"/>
              </a:lnTo>
              <a:lnTo>
                <a:pt x="0" y="261"/>
              </a:lnTo>
              <a:lnTo>
                <a:pt x="0" y="261"/>
              </a:lnTo>
              <a:lnTo>
                <a:pt x="0" y="261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5B0A02B1-BEEB-4CDB-BB67-645F20C0D562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KS
6176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565693</xdr:colOff>
      <xdr:row>7</xdr:row>
      <xdr:rowOff>139917</xdr:rowOff>
    </xdr:from>
    <xdr:to>
      <xdr:col>8</xdr:col>
      <xdr:colOff>73748</xdr:colOff>
      <xdr:row>13</xdr:row>
      <xdr:rowOff>10452</xdr:rowOff>
    </xdr:to>
    <xdr:sp macro="" textlink="data!E34">
      <xdr:nvSpPr>
        <xdr:cNvPr id="197" name="MN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>
          <a:spLocks/>
        </xdr:cNvSpPr>
      </xdr:nvSpPr>
      <xdr:spPr bwMode="auto">
        <a:xfrm>
          <a:off x="4832893" y="1273392"/>
          <a:ext cx="727255" cy="842085"/>
        </a:xfrm>
        <a:custGeom>
          <a:avLst/>
          <a:gdLst>
            <a:gd name="T0" fmla="*/ 0 w 336"/>
            <a:gd name="T1" fmla="*/ 36 h 505"/>
            <a:gd name="T2" fmla="*/ 6 w 336"/>
            <a:gd name="T3" fmla="*/ 61 h 505"/>
            <a:gd name="T4" fmla="*/ 4 w 336"/>
            <a:gd name="T5" fmla="*/ 86 h 505"/>
            <a:gd name="T6" fmla="*/ 5 w 336"/>
            <a:gd name="T7" fmla="*/ 106 h 505"/>
            <a:gd name="T8" fmla="*/ 15 w 336"/>
            <a:gd name="T9" fmla="*/ 143 h 505"/>
            <a:gd name="T10" fmla="*/ 16 w 336"/>
            <a:gd name="T11" fmla="*/ 167 h 505"/>
            <a:gd name="T12" fmla="*/ 18 w 336"/>
            <a:gd name="T13" fmla="*/ 195 h 505"/>
            <a:gd name="T14" fmla="*/ 20 w 336"/>
            <a:gd name="T15" fmla="*/ 214 h 505"/>
            <a:gd name="T16" fmla="*/ 22 w 336"/>
            <a:gd name="T17" fmla="*/ 246 h 505"/>
            <a:gd name="T18" fmla="*/ 29 w 336"/>
            <a:gd name="T19" fmla="*/ 266 h 505"/>
            <a:gd name="T20" fmla="*/ 30 w 336"/>
            <a:gd name="T21" fmla="*/ 287 h 505"/>
            <a:gd name="T22" fmla="*/ 26 w 336"/>
            <a:gd name="T23" fmla="*/ 311 h 505"/>
            <a:gd name="T24" fmla="*/ 16 w 336"/>
            <a:gd name="T25" fmla="*/ 323 h 505"/>
            <a:gd name="T26" fmla="*/ 28 w 336"/>
            <a:gd name="T27" fmla="*/ 341 h 505"/>
            <a:gd name="T28" fmla="*/ 37 w 336"/>
            <a:gd name="T29" fmla="*/ 505 h 505"/>
            <a:gd name="T30" fmla="*/ 233 w 336"/>
            <a:gd name="T31" fmla="*/ 497 h 505"/>
            <a:gd name="T32" fmla="*/ 280 w 336"/>
            <a:gd name="T33" fmla="*/ 486 h 505"/>
            <a:gd name="T34" fmla="*/ 274 w 336"/>
            <a:gd name="T35" fmla="*/ 458 h 505"/>
            <a:gd name="T36" fmla="*/ 262 w 336"/>
            <a:gd name="T37" fmla="*/ 447 h 505"/>
            <a:gd name="T38" fmla="*/ 244 w 336"/>
            <a:gd name="T39" fmla="*/ 423 h 505"/>
            <a:gd name="T40" fmla="*/ 228 w 336"/>
            <a:gd name="T41" fmla="*/ 413 h 505"/>
            <a:gd name="T42" fmla="*/ 214 w 336"/>
            <a:gd name="T43" fmla="*/ 402 h 505"/>
            <a:gd name="T44" fmla="*/ 205 w 336"/>
            <a:gd name="T45" fmla="*/ 385 h 505"/>
            <a:gd name="T46" fmla="*/ 205 w 336"/>
            <a:gd name="T47" fmla="*/ 358 h 505"/>
            <a:gd name="T48" fmla="*/ 204 w 336"/>
            <a:gd name="T49" fmla="*/ 322 h 505"/>
            <a:gd name="T50" fmla="*/ 197 w 336"/>
            <a:gd name="T51" fmla="*/ 309 h 505"/>
            <a:gd name="T52" fmla="*/ 204 w 336"/>
            <a:gd name="T53" fmla="*/ 293 h 505"/>
            <a:gd name="T54" fmla="*/ 222 w 336"/>
            <a:gd name="T55" fmla="*/ 275 h 505"/>
            <a:gd name="T56" fmla="*/ 225 w 336"/>
            <a:gd name="T57" fmla="*/ 225 h 505"/>
            <a:gd name="T58" fmla="*/ 229 w 336"/>
            <a:gd name="T59" fmla="*/ 215 h 505"/>
            <a:gd name="T60" fmla="*/ 247 w 336"/>
            <a:gd name="T61" fmla="*/ 193 h 505"/>
            <a:gd name="T62" fmla="*/ 265 w 336"/>
            <a:gd name="T63" fmla="*/ 167 h 505"/>
            <a:gd name="T64" fmla="*/ 298 w 336"/>
            <a:gd name="T65" fmla="*/ 127 h 505"/>
            <a:gd name="T66" fmla="*/ 324 w 336"/>
            <a:gd name="T67" fmla="*/ 111 h 505"/>
            <a:gd name="T68" fmla="*/ 336 w 336"/>
            <a:gd name="T69" fmla="*/ 100 h 505"/>
            <a:gd name="T70" fmla="*/ 317 w 336"/>
            <a:gd name="T71" fmla="*/ 100 h 505"/>
            <a:gd name="T72" fmla="*/ 304 w 336"/>
            <a:gd name="T73" fmla="*/ 94 h 505"/>
            <a:gd name="T74" fmla="*/ 287 w 336"/>
            <a:gd name="T75" fmla="*/ 97 h 505"/>
            <a:gd name="T76" fmla="*/ 280 w 336"/>
            <a:gd name="T77" fmla="*/ 90 h 505"/>
            <a:gd name="T78" fmla="*/ 267 w 336"/>
            <a:gd name="T79" fmla="*/ 94 h 505"/>
            <a:gd name="T80" fmla="*/ 250 w 336"/>
            <a:gd name="T81" fmla="*/ 104 h 505"/>
            <a:gd name="T82" fmla="*/ 230 w 336"/>
            <a:gd name="T83" fmla="*/ 88 h 505"/>
            <a:gd name="T84" fmla="*/ 217 w 336"/>
            <a:gd name="T85" fmla="*/ 81 h 505"/>
            <a:gd name="T86" fmla="*/ 209 w 336"/>
            <a:gd name="T87" fmla="*/ 84 h 505"/>
            <a:gd name="T88" fmla="*/ 200 w 336"/>
            <a:gd name="T89" fmla="*/ 74 h 505"/>
            <a:gd name="T90" fmla="*/ 176 w 336"/>
            <a:gd name="T91" fmla="*/ 60 h 505"/>
            <a:gd name="T92" fmla="*/ 169 w 336"/>
            <a:gd name="T93" fmla="*/ 61 h 505"/>
            <a:gd name="T94" fmla="*/ 154 w 336"/>
            <a:gd name="T95" fmla="*/ 70 h 505"/>
            <a:gd name="T96" fmla="*/ 130 w 336"/>
            <a:gd name="T97" fmla="*/ 60 h 505"/>
            <a:gd name="T98" fmla="*/ 114 w 336"/>
            <a:gd name="T99" fmla="*/ 53 h 505"/>
            <a:gd name="T100" fmla="*/ 107 w 336"/>
            <a:gd name="T101" fmla="*/ 24 h 505"/>
            <a:gd name="T102" fmla="*/ 93 w 336"/>
            <a:gd name="T103" fmla="*/ 1 h 505"/>
            <a:gd name="T104" fmla="*/ 90 w 336"/>
            <a:gd name="T105" fmla="*/ 30 h 505"/>
            <a:gd name="T106" fmla="*/ 1 w 336"/>
            <a:gd name="T107" fmla="*/ 32 h 50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336" h="505">
              <a:moveTo>
                <a:pt x="1" y="32"/>
              </a:moveTo>
              <a:lnTo>
                <a:pt x="0" y="34"/>
              </a:lnTo>
              <a:lnTo>
                <a:pt x="0" y="36"/>
              </a:lnTo>
              <a:lnTo>
                <a:pt x="2" y="40"/>
              </a:lnTo>
              <a:lnTo>
                <a:pt x="4" y="56"/>
              </a:lnTo>
              <a:lnTo>
                <a:pt x="6" y="61"/>
              </a:lnTo>
              <a:lnTo>
                <a:pt x="4" y="72"/>
              </a:lnTo>
              <a:lnTo>
                <a:pt x="5" y="81"/>
              </a:lnTo>
              <a:lnTo>
                <a:pt x="4" y="86"/>
              </a:lnTo>
              <a:lnTo>
                <a:pt x="5" y="90"/>
              </a:lnTo>
              <a:lnTo>
                <a:pt x="4" y="101"/>
              </a:lnTo>
              <a:lnTo>
                <a:pt x="5" y="106"/>
              </a:lnTo>
              <a:lnTo>
                <a:pt x="10" y="125"/>
              </a:lnTo>
              <a:lnTo>
                <a:pt x="9" y="127"/>
              </a:lnTo>
              <a:lnTo>
                <a:pt x="15" y="143"/>
              </a:lnTo>
              <a:lnTo>
                <a:pt x="17" y="155"/>
              </a:lnTo>
              <a:lnTo>
                <a:pt x="17" y="162"/>
              </a:lnTo>
              <a:lnTo>
                <a:pt x="16" y="167"/>
              </a:lnTo>
              <a:lnTo>
                <a:pt x="17" y="173"/>
              </a:lnTo>
              <a:lnTo>
                <a:pt x="17" y="183"/>
              </a:lnTo>
              <a:lnTo>
                <a:pt x="18" y="195"/>
              </a:lnTo>
              <a:lnTo>
                <a:pt x="18" y="203"/>
              </a:lnTo>
              <a:lnTo>
                <a:pt x="20" y="209"/>
              </a:lnTo>
              <a:lnTo>
                <a:pt x="20" y="214"/>
              </a:lnTo>
              <a:lnTo>
                <a:pt x="20" y="235"/>
              </a:lnTo>
              <a:lnTo>
                <a:pt x="22" y="241"/>
              </a:lnTo>
              <a:lnTo>
                <a:pt x="22" y="246"/>
              </a:lnTo>
              <a:lnTo>
                <a:pt x="23" y="251"/>
              </a:lnTo>
              <a:lnTo>
                <a:pt x="28" y="261"/>
              </a:lnTo>
              <a:lnTo>
                <a:pt x="29" y="266"/>
              </a:lnTo>
              <a:lnTo>
                <a:pt x="29" y="271"/>
              </a:lnTo>
              <a:lnTo>
                <a:pt x="30" y="282"/>
              </a:lnTo>
              <a:lnTo>
                <a:pt x="30" y="287"/>
              </a:lnTo>
              <a:lnTo>
                <a:pt x="30" y="294"/>
              </a:lnTo>
              <a:lnTo>
                <a:pt x="28" y="305"/>
              </a:lnTo>
              <a:lnTo>
                <a:pt x="26" y="311"/>
              </a:lnTo>
              <a:lnTo>
                <a:pt x="22" y="314"/>
              </a:lnTo>
              <a:lnTo>
                <a:pt x="18" y="319"/>
              </a:lnTo>
              <a:lnTo>
                <a:pt x="16" y="323"/>
              </a:lnTo>
              <a:lnTo>
                <a:pt x="20" y="329"/>
              </a:lnTo>
              <a:lnTo>
                <a:pt x="24" y="339"/>
              </a:lnTo>
              <a:lnTo>
                <a:pt x="28" y="341"/>
              </a:lnTo>
              <a:lnTo>
                <a:pt x="32" y="343"/>
              </a:lnTo>
              <a:lnTo>
                <a:pt x="36" y="349"/>
              </a:lnTo>
              <a:lnTo>
                <a:pt x="37" y="505"/>
              </a:lnTo>
              <a:lnTo>
                <a:pt x="85" y="503"/>
              </a:lnTo>
              <a:lnTo>
                <a:pt x="166" y="501"/>
              </a:lnTo>
              <a:lnTo>
                <a:pt x="233" y="497"/>
              </a:lnTo>
              <a:lnTo>
                <a:pt x="281" y="494"/>
              </a:lnTo>
              <a:lnTo>
                <a:pt x="280" y="487"/>
              </a:lnTo>
              <a:lnTo>
                <a:pt x="280" y="486"/>
              </a:lnTo>
              <a:lnTo>
                <a:pt x="279" y="479"/>
              </a:lnTo>
              <a:lnTo>
                <a:pt x="277" y="465"/>
              </a:lnTo>
              <a:lnTo>
                <a:pt x="274" y="458"/>
              </a:lnTo>
              <a:lnTo>
                <a:pt x="270" y="453"/>
              </a:lnTo>
              <a:lnTo>
                <a:pt x="266" y="449"/>
              </a:lnTo>
              <a:lnTo>
                <a:pt x="262" y="447"/>
              </a:lnTo>
              <a:lnTo>
                <a:pt x="257" y="445"/>
              </a:lnTo>
              <a:lnTo>
                <a:pt x="249" y="435"/>
              </a:lnTo>
              <a:lnTo>
                <a:pt x="244" y="423"/>
              </a:lnTo>
              <a:lnTo>
                <a:pt x="238" y="418"/>
              </a:lnTo>
              <a:lnTo>
                <a:pt x="232" y="415"/>
              </a:lnTo>
              <a:lnTo>
                <a:pt x="228" y="413"/>
              </a:lnTo>
              <a:lnTo>
                <a:pt x="226" y="406"/>
              </a:lnTo>
              <a:lnTo>
                <a:pt x="218" y="405"/>
              </a:lnTo>
              <a:lnTo>
                <a:pt x="214" y="402"/>
              </a:lnTo>
              <a:lnTo>
                <a:pt x="210" y="397"/>
              </a:lnTo>
              <a:lnTo>
                <a:pt x="203" y="390"/>
              </a:lnTo>
              <a:lnTo>
                <a:pt x="205" y="385"/>
              </a:lnTo>
              <a:lnTo>
                <a:pt x="206" y="375"/>
              </a:lnTo>
              <a:lnTo>
                <a:pt x="203" y="363"/>
              </a:lnTo>
              <a:lnTo>
                <a:pt x="205" y="358"/>
              </a:lnTo>
              <a:lnTo>
                <a:pt x="204" y="347"/>
              </a:lnTo>
              <a:lnTo>
                <a:pt x="209" y="333"/>
              </a:lnTo>
              <a:lnTo>
                <a:pt x="204" y="322"/>
              </a:lnTo>
              <a:lnTo>
                <a:pt x="200" y="321"/>
              </a:lnTo>
              <a:lnTo>
                <a:pt x="197" y="315"/>
              </a:lnTo>
              <a:lnTo>
                <a:pt x="197" y="309"/>
              </a:lnTo>
              <a:lnTo>
                <a:pt x="200" y="305"/>
              </a:lnTo>
              <a:lnTo>
                <a:pt x="203" y="298"/>
              </a:lnTo>
              <a:lnTo>
                <a:pt x="204" y="293"/>
              </a:lnTo>
              <a:lnTo>
                <a:pt x="212" y="285"/>
              </a:lnTo>
              <a:lnTo>
                <a:pt x="220" y="279"/>
              </a:lnTo>
              <a:lnTo>
                <a:pt x="222" y="275"/>
              </a:lnTo>
              <a:lnTo>
                <a:pt x="223" y="269"/>
              </a:lnTo>
              <a:lnTo>
                <a:pt x="222" y="225"/>
              </a:lnTo>
              <a:lnTo>
                <a:pt x="225" y="225"/>
              </a:lnTo>
              <a:lnTo>
                <a:pt x="227" y="218"/>
              </a:lnTo>
              <a:lnTo>
                <a:pt x="228" y="218"/>
              </a:lnTo>
              <a:lnTo>
                <a:pt x="229" y="215"/>
              </a:lnTo>
              <a:lnTo>
                <a:pt x="231" y="211"/>
              </a:lnTo>
              <a:lnTo>
                <a:pt x="243" y="198"/>
              </a:lnTo>
              <a:lnTo>
                <a:pt x="247" y="193"/>
              </a:lnTo>
              <a:lnTo>
                <a:pt x="250" y="189"/>
              </a:lnTo>
              <a:lnTo>
                <a:pt x="254" y="183"/>
              </a:lnTo>
              <a:lnTo>
                <a:pt x="265" y="167"/>
              </a:lnTo>
              <a:lnTo>
                <a:pt x="269" y="158"/>
              </a:lnTo>
              <a:lnTo>
                <a:pt x="285" y="138"/>
              </a:lnTo>
              <a:lnTo>
                <a:pt x="298" y="127"/>
              </a:lnTo>
              <a:lnTo>
                <a:pt x="306" y="123"/>
              </a:lnTo>
              <a:lnTo>
                <a:pt x="310" y="122"/>
              </a:lnTo>
              <a:lnTo>
                <a:pt x="324" y="111"/>
              </a:lnTo>
              <a:lnTo>
                <a:pt x="328" y="109"/>
              </a:lnTo>
              <a:lnTo>
                <a:pt x="332" y="104"/>
              </a:lnTo>
              <a:lnTo>
                <a:pt x="336" y="100"/>
              </a:lnTo>
              <a:lnTo>
                <a:pt x="326" y="100"/>
              </a:lnTo>
              <a:lnTo>
                <a:pt x="321" y="102"/>
              </a:lnTo>
              <a:lnTo>
                <a:pt x="317" y="100"/>
              </a:lnTo>
              <a:lnTo>
                <a:pt x="317" y="98"/>
              </a:lnTo>
              <a:lnTo>
                <a:pt x="313" y="93"/>
              </a:lnTo>
              <a:lnTo>
                <a:pt x="304" y="94"/>
              </a:lnTo>
              <a:lnTo>
                <a:pt x="300" y="96"/>
              </a:lnTo>
              <a:lnTo>
                <a:pt x="292" y="96"/>
              </a:lnTo>
              <a:lnTo>
                <a:pt x="287" y="97"/>
              </a:lnTo>
              <a:lnTo>
                <a:pt x="283" y="97"/>
              </a:lnTo>
              <a:lnTo>
                <a:pt x="282" y="92"/>
              </a:lnTo>
              <a:lnTo>
                <a:pt x="280" y="90"/>
              </a:lnTo>
              <a:lnTo>
                <a:pt x="280" y="86"/>
              </a:lnTo>
              <a:lnTo>
                <a:pt x="276" y="86"/>
              </a:lnTo>
              <a:lnTo>
                <a:pt x="267" y="94"/>
              </a:lnTo>
              <a:lnTo>
                <a:pt x="263" y="100"/>
              </a:lnTo>
              <a:lnTo>
                <a:pt x="255" y="105"/>
              </a:lnTo>
              <a:lnTo>
                <a:pt x="250" y="104"/>
              </a:lnTo>
              <a:lnTo>
                <a:pt x="242" y="98"/>
              </a:lnTo>
              <a:lnTo>
                <a:pt x="241" y="94"/>
              </a:lnTo>
              <a:lnTo>
                <a:pt x="230" y="88"/>
              </a:lnTo>
              <a:lnTo>
                <a:pt x="228" y="82"/>
              </a:lnTo>
              <a:lnTo>
                <a:pt x="224" y="81"/>
              </a:lnTo>
              <a:lnTo>
                <a:pt x="217" y="81"/>
              </a:lnTo>
              <a:lnTo>
                <a:pt x="216" y="90"/>
              </a:lnTo>
              <a:lnTo>
                <a:pt x="212" y="88"/>
              </a:lnTo>
              <a:lnTo>
                <a:pt x="209" y="84"/>
              </a:lnTo>
              <a:lnTo>
                <a:pt x="209" y="78"/>
              </a:lnTo>
              <a:lnTo>
                <a:pt x="205" y="73"/>
              </a:lnTo>
              <a:lnTo>
                <a:pt x="200" y="74"/>
              </a:lnTo>
              <a:lnTo>
                <a:pt x="202" y="68"/>
              </a:lnTo>
              <a:lnTo>
                <a:pt x="185" y="60"/>
              </a:lnTo>
              <a:lnTo>
                <a:pt x="176" y="60"/>
              </a:lnTo>
              <a:lnTo>
                <a:pt x="172" y="60"/>
              </a:lnTo>
              <a:lnTo>
                <a:pt x="171" y="60"/>
              </a:lnTo>
              <a:lnTo>
                <a:pt x="169" y="61"/>
              </a:lnTo>
              <a:lnTo>
                <a:pt x="167" y="62"/>
              </a:lnTo>
              <a:lnTo>
                <a:pt x="164" y="68"/>
              </a:lnTo>
              <a:lnTo>
                <a:pt x="154" y="70"/>
              </a:lnTo>
              <a:lnTo>
                <a:pt x="149" y="68"/>
              </a:lnTo>
              <a:lnTo>
                <a:pt x="148" y="62"/>
              </a:lnTo>
              <a:lnTo>
                <a:pt x="130" y="60"/>
              </a:lnTo>
              <a:lnTo>
                <a:pt x="126" y="56"/>
              </a:lnTo>
              <a:lnTo>
                <a:pt x="118" y="56"/>
              </a:lnTo>
              <a:lnTo>
                <a:pt x="114" y="53"/>
              </a:lnTo>
              <a:lnTo>
                <a:pt x="110" y="48"/>
              </a:lnTo>
              <a:lnTo>
                <a:pt x="111" y="40"/>
              </a:lnTo>
              <a:lnTo>
                <a:pt x="107" y="24"/>
              </a:lnTo>
              <a:lnTo>
                <a:pt x="105" y="8"/>
              </a:lnTo>
              <a:lnTo>
                <a:pt x="101" y="2"/>
              </a:lnTo>
              <a:lnTo>
                <a:pt x="93" y="1"/>
              </a:lnTo>
              <a:lnTo>
                <a:pt x="90" y="0"/>
              </a:lnTo>
              <a:lnTo>
                <a:pt x="91" y="26"/>
              </a:lnTo>
              <a:lnTo>
                <a:pt x="90" y="30"/>
              </a:lnTo>
              <a:lnTo>
                <a:pt x="57" y="32"/>
              </a:lnTo>
              <a:lnTo>
                <a:pt x="1" y="32"/>
              </a:lnTo>
              <a:lnTo>
                <a:pt x="1" y="32"/>
              </a:lnTo>
              <a:lnTo>
                <a:pt x="1" y="32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8F57EC46-1BD9-434A-8266-83AC9ABCDE97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MN
6482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7129</xdr:colOff>
      <xdr:row>12</xdr:row>
      <xdr:rowOff>146859</xdr:rowOff>
    </xdr:from>
    <xdr:to>
      <xdr:col>8</xdr:col>
      <xdr:colOff>86508</xdr:colOff>
      <xdr:row>15</xdr:row>
      <xdr:rowOff>116150</xdr:rowOff>
    </xdr:to>
    <xdr:sp macro="" textlink="data!E23">
      <xdr:nvSpPr>
        <xdr:cNvPr id="198" name="IA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>
          <a:spLocks/>
        </xdr:cNvSpPr>
      </xdr:nvSpPr>
      <xdr:spPr bwMode="auto">
        <a:xfrm>
          <a:off x="4883929" y="2089959"/>
          <a:ext cx="688979" cy="455066"/>
        </a:xfrm>
        <a:custGeom>
          <a:avLst/>
          <a:gdLst>
            <a:gd name="T0" fmla="*/ 12 w 311"/>
            <a:gd name="T1" fmla="*/ 97 h 270"/>
            <a:gd name="T2" fmla="*/ 11 w 311"/>
            <a:gd name="T3" fmla="*/ 107 h 270"/>
            <a:gd name="T4" fmla="*/ 15 w 311"/>
            <a:gd name="T5" fmla="*/ 119 h 270"/>
            <a:gd name="T6" fmla="*/ 18 w 311"/>
            <a:gd name="T7" fmla="*/ 129 h 270"/>
            <a:gd name="T8" fmla="*/ 24 w 311"/>
            <a:gd name="T9" fmla="*/ 144 h 270"/>
            <a:gd name="T10" fmla="*/ 27 w 311"/>
            <a:gd name="T11" fmla="*/ 155 h 270"/>
            <a:gd name="T12" fmla="*/ 27 w 311"/>
            <a:gd name="T13" fmla="*/ 165 h 270"/>
            <a:gd name="T14" fmla="*/ 28 w 311"/>
            <a:gd name="T15" fmla="*/ 177 h 270"/>
            <a:gd name="T16" fmla="*/ 31 w 311"/>
            <a:gd name="T17" fmla="*/ 178 h 270"/>
            <a:gd name="T18" fmla="*/ 35 w 311"/>
            <a:gd name="T19" fmla="*/ 186 h 270"/>
            <a:gd name="T20" fmla="*/ 37 w 311"/>
            <a:gd name="T21" fmla="*/ 198 h 270"/>
            <a:gd name="T22" fmla="*/ 39 w 311"/>
            <a:gd name="T23" fmla="*/ 210 h 270"/>
            <a:gd name="T24" fmla="*/ 38 w 311"/>
            <a:gd name="T25" fmla="*/ 224 h 270"/>
            <a:gd name="T26" fmla="*/ 38 w 311"/>
            <a:gd name="T27" fmla="*/ 252 h 270"/>
            <a:gd name="T28" fmla="*/ 44 w 311"/>
            <a:gd name="T29" fmla="*/ 261 h 270"/>
            <a:gd name="T30" fmla="*/ 132 w 311"/>
            <a:gd name="T31" fmla="*/ 260 h 270"/>
            <a:gd name="T32" fmla="*/ 239 w 311"/>
            <a:gd name="T33" fmla="*/ 249 h 270"/>
            <a:gd name="T34" fmla="*/ 250 w 311"/>
            <a:gd name="T35" fmla="*/ 264 h 270"/>
            <a:gd name="T36" fmla="*/ 255 w 311"/>
            <a:gd name="T37" fmla="*/ 270 h 270"/>
            <a:gd name="T38" fmla="*/ 258 w 311"/>
            <a:gd name="T39" fmla="*/ 261 h 270"/>
            <a:gd name="T40" fmla="*/ 259 w 311"/>
            <a:gd name="T41" fmla="*/ 250 h 270"/>
            <a:gd name="T42" fmla="*/ 270 w 311"/>
            <a:gd name="T43" fmla="*/ 238 h 270"/>
            <a:gd name="T44" fmla="*/ 270 w 311"/>
            <a:gd name="T45" fmla="*/ 229 h 270"/>
            <a:gd name="T46" fmla="*/ 276 w 311"/>
            <a:gd name="T47" fmla="*/ 206 h 270"/>
            <a:gd name="T48" fmla="*/ 269 w 311"/>
            <a:gd name="T49" fmla="*/ 184 h 270"/>
            <a:gd name="T50" fmla="*/ 286 w 311"/>
            <a:gd name="T51" fmla="*/ 174 h 270"/>
            <a:gd name="T52" fmla="*/ 299 w 311"/>
            <a:gd name="T53" fmla="*/ 165 h 270"/>
            <a:gd name="T54" fmla="*/ 304 w 311"/>
            <a:gd name="T55" fmla="*/ 149 h 270"/>
            <a:gd name="T56" fmla="*/ 311 w 311"/>
            <a:gd name="T57" fmla="*/ 123 h 270"/>
            <a:gd name="T58" fmla="*/ 305 w 311"/>
            <a:gd name="T59" fmla="*/ 111 h 270"/>
            <a:gd name="T60" fmla="*/ 297 w 311"/>
            <a:gd name="T61" fmla="*/ 104 h 270"/>
            <a:gd name="T62" fmla="*/ 288 w 311"/>
            <a:gd name="T63" fmla="*/ 88 h 270"/>
            <a:gd name="T64" fmla="*/ 285 w 311"/>
            <a:gd name="T65" fmla="*/ 83 h 270"/>
            <a:gd name="T66" fmla="*/ 269 w 311"/>
            <a:gd name="T67" fmla="*/ 68 h 270"/>
            <a:gd name="T68" fmla="*/ 263 w 311"/>
            <a:gd name="T69" fmla="*/ 60 h 270"/>
            <a:gd name="T70" fmla="*/ 259 w 311"/>
            <a:gd name="T71" fmla="*/ 48 h 270"/>
            <a:gd name="T72" fmla="*/ 257 w 311"/>
            <a:gd name="T73" fmla="*/ 29 h 270"/>
            <a:gd name="T74" fmla="*/ 259 w 311"/>
            <a:gd name="T75" fmla="*/ 13 h 270"/>
            <a:gd name="T76" fmla="*/ 254 w 311"/>
            <a:gd name="T77" fmla="*/ 5 h 270"/>
            <a:gd name="T78" fmla="*/ 253 w 311"/>
            <a:gd name="T79" fmla="*/ 0 h 270"/>
            <a:gd name="T80" fmla="*/ 138 w 311"/>
            <a:gd name="T81" fmla="*/ 7 h 270"/>
            <a:gd name="T82" fmla="*/ 9 w 311"/>
            <a:gd name="T83" fmla="*/ 11 h 270"/>
            <a:gd name="T84" fmla="*/ 2 w 311"/>
            <a:gd name="T85" fmla="*/ 16 h 270"/>
            <a:gd name="T86" fmla="*/ 4 w 311"/>
            <a:gd name="T87" fmla="*/ 28 h 270"/>
            <a:gd name="T88" fmla="*/ 3 w 311"/>
            <a:gd name="T89" fmla="*/ 35 h 270"/>
            <a:gd name="T90" fmla="*/ 9 w 311"/>
            <a:gd name="T91" fmla="*/ 45 h 270"/>
            <a:gd name="T92" fmla="*/ 7 w 311"/>
            <a:gd name="T93" fmla="*/ 56 h 270"/>
            <a:gd name="T94" fmla="*/ 2 w 311"/>
            <a:gd name="T95" fmla="*/ 68 h 270"/>
            <a:gd name="T96" fmla="*/ 1 w 311"/>
            <a:gd name="T97" fmla="*/ 79 h 270"/>
            <a:gd name="T98" fmla="*/ 8 w 311"/>
            <a:gd name="T99" fmla="*/ 96 h 270"/>
            <a:gd name="T100" fmla="*/ 8 w 311"/>
            <a:gd name="T101" fmla="*/ 96 h 27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311" h="270">
              <a:moveTo>
                <a:pt x="8" y="96"/>
              </a:moveTo>
              <a:lnTo>
                <a:pt x="12" y="97"/>
              </a:lnTo>
              <a:lnTo>
                <a:pt x="12" y="103"/>
              </a:lnTo>
              <a:lnTo>
                <a:pt x="11" y="107"/>
              </a:lnTo>
              <a:lnTo>
                <a:pt x="14" y="113"/>
              </a:lnTo>
              <a:lnTo>
                <a:pt x="15" y="119"/>
              </a:lnTo>
              <a:lnTo>
                <a:pt x="15" y="124"/>
              </a:lnTo>
              <a:lnTo>
                <a:pt x="18" y="129"/>
              </a:lnTo>
              <a:lnTo>
                <a:pt x="19" y="135"/>
              </a:lnTo>
              <a:lnTo>
                <a:pt x="24" y="144"/>
              </a:lnTo>
              <a:lnTo>
                <a:pt x="24" y="149"/>
              </a:lnTo>
              <a:lnTo>
                <a:pt x="27" y="155"/>
              </a:lnTo>
              <a:lnTo>
                <a:pt x="28" y="160"/>
              </a:lnTo>
              <a:lnTo>
                <a:pt x="27" y="165"/>
              </a:lnTo>
              <a:lnTo>
                <a:pt x="27" y="172"/>
              </a:lnTo>
              <a:lnTo>
                <a:pt x="28" y="177"/>
              </a:lnTo>
              <a:lnTo>
                <a:pt x="27" y="178"/>
              </a:lnTo>
              <a:lnTo>
                <a:pt x="31" y="178"/>
              </a:lnTo>
              <a:lnTo>
                <a:pt x="31" y="184"/>
              </a:lnTo>
              <a:lnTo>
                <a:pt x="35" y="186"/>
              </a:lnTo>
              <a:lnTo>
                <a:pt x="34" y="193"/>
              </a:lnTo>
              <a:lnTo>
                <a:pt x="37" y="198"/>
              </a:lnTo>
              <a:lnTo>
                <a:pt x="36" y="205"/>
              </a:lnTo>
              <a:lnTo>
                <a:pt x="39" y="210"/>
              </a:lnTo>
              <a:lnTo>
                <a:pt x="38" y="217"/>
              </a:lnTo>
              <a:lnTo>
                <a:pt x="38" y="224"/>
              </a:lnTo>
              <a:lnTo>
                <a:pt x="40" y="236"/>
              </a:lnTo>
              <a:lnTo>
                <a:pt x="38" y="252"/>
              </a:lnTo>
              <a:lnTo>
                <a:pt x="42" y="256"/>
              </a:lnTo>
              <a:lnTo>
                <a:pt x="44" y="261"/>
              </a:lnTo>
              <a:lnTo>
                <a:pt x="98" y="261"/>
              </a:lnTo>
              <a:lnTo>
                <a:pt x="132" y="260"/>
              </a:lnTo>
              <a:lnTo>
                <a:pt x="207" y="254"/>
              </a:lnTo>
              <a:lnTo>
                <a:pt x="239" y="249"/>
              </a:lnTo>
              <a:lnTo>
                <a:pt x="242" y="256"/>
              </a:lnTo>
              <a:lnTo>
                <a:pt x="250" y="264"/>
              </a:lnTo>
              <a:lnTo>
                <a:pt x="253" y="269"/>
              </a:lnTo>
              <a:lnTo>
                <a:pt x="255" y="270"/>
              </a:lnTo>
              <a:lnTo>
                <a:pt x="258" y="266"/>
              </a:lnTo>
              <a:lnTo>
                <a:pt x="258" y="261"/>
              </a:lnTo>
              <a:lnTo>
                <a:pt x="255" y="256"/>
              </a:lnTo>
              <a:lnTo>
                <a:pt x="259" y="250"/>
              </a:lnTo>
              <a:lnTo>
                <a:pt x="268" y="244"/>
              </a:lnTo>
              <a:lnTo>
                <a:pt x="270" y="238"/>
              </a:lnTo>
              <a:lnTo>
                <a:pt x="270" y="232"/>
              </a:lnTo>
              <a:lnTo>
                <a:pt x="270" y="229"/>
              </a:lnTo>
              <a:lnTo>
                <a:pt x="276" y="218"/>
              </a:lnTo>
              <a:lnTo>
                <a:pt x="276" y="206"/>
              </a:lnTo>
              <a:lnTo>
                <a:pt x="268" y="196"/>
              </a:lnTo>
              <a:lnTo>
                <a:pt x="269" y="184"/>
              </a:lnTo>
              <a:lnTo>
                <a:pt x="271" y="178"/>
              </a:lnTo>
              <a:lnTo>
                <a:pt x="286" y="174"/>
              </a:lnTo>
              <a:lnTo>
                <a:pt x="290" y="170"/>
              </a:lnTo>
              <a:lnTo>
                <a:pt x="299" y="165"/>
              </a:lnTo>
              <a:lnTo>
                <a:pt x="303" y="161"/>
              </a:lnTo>
              <a:lnTo>
                <a:pt x="304" y="149"/>
              </a:lnTo>
              <a:lnTo>
                <a:pt x="309" y="140"/>
              </a:lnTo>
              <a:lnTo>
                <a:pt x="311" y="123"/>
              </a:lnTo>
              <a:lnTo>
                <a:pt x="309" y="116"/>
              </a:lnTo>
              <a:lnTo>
                <a:pt x="305" y="111"/>
              </a:lnTo>
              <a:lnTo>
                <a:pt x="301" y="108"/>
              </a:lnTo>
              <a:lnTo>
                <a:pt x="297" y="104"/>
              </a:lnTo>
              <a:lnTo>
                <a:pt x="296" y="97"/>
              </a:lnTo>
              <a:lnTo>
                <a:pt x="288" y="88"/>
              </a:lnTo>
              <a:lnTo>
                <a:pt x="284" y="84"/>
              </a:lnTo>
              <a:lnTo>
                <a:pt x="285" y="83"/>
              </a:lnTo>
              <a:lnTo>
                <a:pt x="282" y="72"/>
              </a:lnTo>
              <a:lnTo>
                <a:pt x="269" y="68"/>
              </a:lnTo>
              <a:lnTo>
                <a:pt x="265" y="65"/>
              </a:lnTo>
              <a:lnTo>
                <a:pt x="263" y="60"/>
              </a:lnTo>
              <a:lnTo>
                <a:pt x="262" y="53"/>
              </a:lnTo>
              <a:lnTo>
                <a:pt x="259" y="48"/>
              </a:lnTo>
              <a:lnTo>
                <a:pt x="259" y="39"/>
              </a:lnTo>
              <a:lnTo>
                <a:pt x="257" y="29"/>
              </a:lnTo>
              <a:lnTo>
                <a:pt x="261" y="19"/>
              </a:lnTo>
              <a:lnTo>
                <a:pt x="259" y="13"/>
              </a:lnTo>
              <a:lnTo>
                <a:pt x="256" y="12"/>
              </a:lnTo>
              <a:lnTo>
                <a:pt x="254" y="5"/>
              </a:lnTo>
              <a:lnTo>
                <a:pt x="253" y="4"/>
              </a:lnTo>
              <a:lnTo>
                <a:pt x="253" y="0"/>
              </a:lnTo>
              <a:lnTo>
                <a:pt x="205" y="3"/>
              </a:lnTo>
              <a:lnTo>
                <a:pt x="138" y="7"/>
              </a:lnTo>
              <a:lnTo>
                <a:pt x="57" y="9"/>
              </a:lnTo>
              <a:lnTo>
                <a:pt x="9" y="11"/>
              </a:lnTo>
              <a:lnTo>
                <a:pt x="1" y="11"/>
              </a:lnTo>
              <a:lnTo>
                <a:pt x="2" y="16"/>
              </a:lnTo>
              <a:lnTo>
                <a:pt x="4" y="21"/>
              </a:lnTo>
              <a:lnTo>
                <a:pt x="4" y="28"/>
              </a:lnTo>
              <a:lnTo>
                <a:pt x="2" y="29"/>
              </a:lnTo>
              <a:lnTo>
                <a:pt x="3" y="35"/>
              </a:lnTo>
              <a:lnTo>
                <a:pt x="9" y="40"/>
              </a:lnTo>
              <a:lnTo>
                <a:pt x="9" y="45"/>
              </a:lnTo>
              <a:lnTo>
                <a:pt x="5" y="51"/>
              </a:lnTo>
              <a:lnTo>
                <a:pt x="7" y="56"/>
              </a:lnTo>
              <a:lnTo>
                <a:pt x="3" y="67"/>
              </a:lnTo>
              <a:lnTo>
                <a:pt x="2" y="68"/>
              </a:lnTo>
              <a:lnTo>
                <a:pt x="0" y="73"/>
              </a:lnTo>
              <a:lnTo>
                <a:pt x="1" y="79"/>
              </a:lnTo>
              <a:lnTo>
                <a:pt x="5" y="84"/>
              </a:lnTo>
              <a:lnTo>
                <a:pt x="8" y="96"/>
              </a:lnTo>
              <a:lnTo>
                <a:pt x="8" y="96"/>
              </a:lnTo>
              <a:lnTo>
                <a:pt x="8" y="96"/>
              </a:lnTo>
              <a:close/>
            </a:path>
          </a:pathLst>
        </a:custGeom>
        <a:solidFill>
          <a:srgbClr val="E34A33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EEF5A8B3-CA72-43A2-A7EB-0A34A407475A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IA
7898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109200</xdr:colOff>
      <xdr:row>15</xdr:row>
      <xdr:rowOff>90633</xdr:rowOff>
    </xdr:from>
    <xdr:to>
      <xdr:col>8</xdr:col>
      <xdr:colOff>252373</xdr:colOff>
      <xdr:row>19</xdr:row>
      <xdr:rowOff>106394</xdr:rowOff>
    </xdr:to>
    <xdr:sp macro="" textlink="data!E35">
      <xdr:nvSpPr>
        <xdr:cNvPr id="199" name="MO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>
          <a:spLocks/>
        </xdr:cNvSpPr>
      </xdr:nvSpPr>
      <xdr:spPr bwMode="auto">
        <a:xfrm>
          <a:off x="4986000" y="2519508"/>
          <a:ext cx="752773" cy="663461"/>
        </a:xfrm>
        <a:custGeom>
          <a:avLst/>
          <a:gdLst>
            <a:gd name="T0" fmla="*/ 0 w 343"/>
            <a:gd name="T1" fmla="*/ 17 h 397"/>
            <a:gd name="T2" fmla="*/ 6 w 343"/>
            <a:gd name="T3" fmla="*/ 33 h 397"/>
            <a:gd name="T4" fmla="*/ 14 w 343"/>
            <a:gd name="T5" fmla="*/ 43 h 397"/>
            <a:gd name="T6" fmla="*/ 18 w 343"/>
            <a:gd name="T7" fmla="*/ 53 h 397"/>
            <a:gd name="T8" fmla="*/ 22 w 343"/>
            <a:gd name="T9" fmla="*/ 64 h 397"/>
            <a:gd name="T10" fmla="*/ 38 w 343"/>
            <a:gd name="T11" fmla="*/ 72 h 397"/>
            <a:gd name="T12" fmla="*/ 43 w 343"/>
            <a:gd name="T13" fmla="*/ 79 h 397"/>
            <a:gd name="T14" fmla="*/ 44 w 343"/>
            <a:gd name="T15" fmla="*/ 87 h 397"/>
            <a:gd name="T16" fmla="*/ 38 w 343"/>
            <a:gd name="T17" fmla="*/ 92 h 397"/>
            <a:gd name="T18" fmla="*/ 35 w 343"/>
            <a:gd name="T19" fmla="*/ 105 h 397"/>
            <a:gd name="T20" fmla="*/ 43 w 343"/>
            <a:gd name="T21" fmla="*/ 117 h 397"/>
            <a:gd name="T22" fmla="*/ 50 w 343"/>
            <a:gd name="T23" fmla="*/ 133 h 397"/>
            <a:gd name="T24" fmla="*/ 58 w 343"/>
            <a:gd name="T25" fmla="*/ 139 h 397"/>
            <a:gd name="T26" fmla="*/ 62 w 343"/>
            <a:gd name="T27" fmla="*/ 367 h 397"/>
            <a:gd name="T28" fmla="*/ 195 w 343"/>
            <a:gd name="T29" fmla="*/ 360 h 397"/>
            <a:gd name="T30" fmla="*/ 292 w 343"/>
            <a:gd name="T31" fmla="*/ 356 h 397"/>
            <a:gd name="T32" fmla="*/ 297 w 343"/>
            <a:gd name="T33" fmla="*/ 367 h 397"/>
            <a:gd name="T34" fmla="*/ 293 w 343"/>
            <a:gd name="T35" fmla="*/ 377 h 397"/>
            <a:gd name="T36" fmla="*/ 286 w 343"/>
            <a:gd name="T37" fmla="*/ 387 h 397"/>
            <a:gd name="T38" fmla="*/ 286 w 343"/>
            <a:gd name="T39" fmla="*/ 397 h 397"/>
            <a:gd name="T40" fmla="*/ 319 w 343"/>
            <a:gd name="T41" fmla="*/ 384 h 397"/>
            <a:gd name="T42" fmla="*/ 317 w 343"/>
            <a:gd name="T43" fmla="*/ 373 h 397"/>
            <a:gd name="T44" fmla="*/ 320 w 343"/>
            <a:gd name="T45" fmla="*/ 363 h 397"/>
            <a:gd name="T46" fmla="*/ 323 w 343"/>
            <a:gd name="T47" fmla="*/ 355 h 397"/>
            <a:gd name="T48" fmla="*/ 324 w 343"/>
            <a:gd name="T49" fmla="*/ 344 h 397"/>
            <a:gd name="T50" fmla="*/ 325 w 343"/>
            <a:gd name="T51" fmla="*/ 353 h 397"/>
            <a:gd name="T52" fmla="*/ 330 w 343"/>
            <a:gd name="T53" fmla="*/ 341 h 397"/>
            <a:gd name="T54" fmla="*/ 339 w 343"/>
            <a:gd name="T55" fmla="*/ 341 h 397"/>
            <a:gd name="T56" fmla="*/ 339 w 343"/>
            <a:gd name="T57" fmla="*/ 328 h 397"/>
            <a:gd name="T58" fmla="*/ 342 w 343"/>
            <a:gd name="T59" fmla="*/ 316 h 397"/>
            <a:gd name="T60" fmla="*/ 342 w 343"/>
            <a:gd name="T61" fmla="*/ 305 h 397"/>
            <a:gd name="T62" fmla="*/ 332 w 343"/>
            <a:gd name="T63" fmla="*/ 304 h 397"/>
            <a:gd name="T64" fmla="*/ 320 w 343"/>
            <a:gd name="T65" fmla="*/ 281 h 397"/>
            <a:gd name="T66" fmla="*/ 324 w 343"/>
            <a:gd name="T67" fmla="*/ 269 h 397"/>
            <a:gd name="T68" fmla="*/ 318 w 343"/>
            <a:gd name="T69" fmla="*/ 247 h 397"/>
            <a:gd name="T70" fmla="*/ 310 w 343"/>
            <a:gd name="T71" fmla="*/ 241 h 397"/>
            <a:gd name="T72" fmla="*/ 300 w 343"/>
            <a:gd name="T73" fmla="*/ 229 h 397"/>
            <a:gd name="T74" fmla="*/ 295 w 343"/>
            <a:gd name="T75" fmla="*/ 225 h 397"/>
            <a:gd name="T76" fmla="*/ 280 w 343"/>
            <a:gd name="T77" fmla="*/ 213 h 397"/>
            <a:gd name="T78" fmla="*/ 272 w 343"/>
            <a:gd name="T79" fmla="*/ 197 h 397"/>
            <a:gd name="T80" fmla="*/ 275 w 343"/>
            <a:gd name="T81" fmla="*/ 187 h 397"/>
            <a:gd name="T82" fmla="*/ 280 w 343"/>
            <a:gd name="T83" fmla="*/ 168 h 397"/>
            <a:gd name="T84" fmla="*/ 282 w 343"/>
            <a:gd name="T85" fmla="*/ 152 h 397"/>
            <a:gd name="T86" fmla="*/ 274 w 343"/>
            <a:gd name="T87" fmla="*/ 143 h 397"/>
            <a:gd name="T88" fmla="*/ 266 w 343"/>
            <a:gd name="T89" fmla="*/ 140 h 397"/>
            <a:gd name="T90" fmla="*/ 262 w 343"/>
            <a:gd name="T91" fmla="*/ 145 h 397"/>
            <a:gd name="T92" fmla="*/ 254 w 343"/>
            <a:gd name="T93" fmla="*/ 141 h 397"/>
            <a:gd name="T94" fmla="*/ 247 w 343"/>
            <a:gd name="T95" fmla="*/ 112 h 397"/>
            <a:gd name="T96" fmla="*/ 233 w 343"/>
            <a:gd name="T97" fmla="*/ 100 h 397"/>
            <a:gd name="T98" fmla="*/ 227 w 343"/>
            <a:gd name="T99" fmla="*/ 91 h 397"/>
            <a:gd name="T100" fmla="*/ 217 w 343"/>
            <a:gd name="T101" fmla="*/ 79 h 397"/>
            <a:gd name="T102" fmla="*/ 214 w 343"/>
            <a:gd name="T103" fmla="*/ 68 h 397"/>
            <a:gd name="T104" fmla="*/ 210 w 343"/>
            <a:gd name="T105" fmla="*/ 55 h 397"/>
            <a:gd name="T106" fmla="*/ 208 w 343"/>
            <a:gd name="T107" fmla="*/ 32 h 397"/>
            <a:gd name="T108" fmla="*/ 211 w 343"/>
            <a:gd name="T109" fmla="*/ 21 h 397"/>
            <a:gd name="T110" fmla="*/ 206 w 343"/>
            <a:gd name="T111" fmla="*/ 15 h 397"/>
            <a:gd name="T112" fmla="*/ 195 w 343"/>
            <a:gd name="T113" fmla="*/ 0 h 397"/>
            <a:gd name="T114" fmla="*/ 88 w 343"/>
            <a:gd name="T115" fmla="*/ 11 h 397"/>
            <a:gd name="T116" fmla="*/ 0 w 343"/>
            <a:gd name="T117" fmla="*/ 12 h 397"/>
            <a:gd name="T118" fmla="*/ 0 w 343"/>
            <a:gd name="T119" fmla="*/ 12 h 39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343" h="397">
              <a:moveTo>
                <a:pt x="0" y="12"/>
              </a:moveTo>
              <a:lnTo>
                <a:pt x="0" y="17"/>
              </a:lnTo>
              <a:lnTo>
                <a:pt x="3" y="23"/>
              </a:lnTo>
              <a:lnTo>
                <a:pt x="6" y="33"/>
              </a:lnTo>
              <a:lnTo>
                <a:pt x="10" y="39"/>
              </a:lnTo>
              <a:lnTo>
                <a:pt x="14" y="43"/>
              </a:lnTo>
              <a:lnTo>
                <a:pt x="14" y="48"/>
              </a:lnTo>
              <a:lnTo>
                <a:pt x="18" y="53"/>
              </a:lnTo>
              <a:lnTo>
                <a:pt x="17" y="59"/>
              </a:lnTo>
              <a:lnTo>
                <a:pt x="22" y="64"/>
              </a:lnTo>
              <a:lnTo>
                <a:pt x="34" y="76"/>
              </a:lnTo>
              <a:lnTo>
                <a:pt x="38" y="72"/>
              </a:lnTo>
              <a:lnTo>
                <a:pt x="41" y="73"/>
              </a:lnTo>
              <a:lnTo>
                <a:pt x="43" y="79"/>
              </a:lnTo>
              <a:lnTo>
                <a:pt x="44" y="85"/>
              </a:lnTo>
              <a:lnTo>
                <a:pt x="44" y="87"/>
              </a:lnTo>
              <a:lnTo>
                <a:pt x="40" y="87"/>
              </a:lnTo>
              <a:lnTo>
                <a:pt x="38" y="92"/>
              </a:lnTo>
              <a:lnTo>
                <a:pt x="33" y="100"/>
              </a:lnTo>
              <a:lnTo>
                <a:pt x="35" y="105"/>
              </a:lnTo>
              <a:lnTo>
                <a:pt x="39" y="113"/>
              </a:lnTo>
              <a:lnTo>
                <a:pt x="43" y="117"/>
              </a:lnTo>
              <a:lnTo>
                <a:pt x="43" y="123"/>
              </a:lnTo>
              <a:lnTo>
                <a:pt x="50" y="133"/>
              </a:lnTo>
              <a:lnTo>
                <a:pt x="53" y="135"/>
              </a:lnTo>
              <a:lnTo>
                <a:pt x="58" y="139"/>
              </a:lnTo>
              <a:lnTo>
                <a:pt x="61" y="324"/>
              </a:lnTo>
              <a:lnTo>
                <a:pt x="62" y="367"/>
              </a:lnTo>
              <a:lnTo>
                <a:pt x="113" y="365"/>
              </a:lnTo>
              <a:lnTo>
                <a:pt x="195" y="360"/>
              </a:lnTo>
              <a:lnTo>
                <a:pt x="288" y="352"/>
              </a:lnTo>
              <a:lnTo>
                <a:pt x="292" y="356"/>
              </a:lnTo>
              <a:lnTo>
                <a:pt x="295" y="361"/>
              </a:lnTo>
              <a:lnTo>
                <a:pt x="297" y="367"/>
              </a:lnTo>
              <a:lnTo>
                <a:pt x="297" y="372"/>
              </a:lnTo>
              <a:lnTo>
                <a:pt x="293" y="377"/>
              </a:lnTo>
              <a:lnTo>
                <a:pt x="289" y="380"/>
              </a:lnTo>
              <a:lnTo>
                <a:pt x="286" y="387"/>
              </a:lnTo>
              <a:lnTo>
                <a:pt x="284" y="392"/>
              </a:lnTo>
              <a:lnTo>
                <a:pt x="286" y="397"/>
              </a:lnTo>
              <a:lnTo>
                <a:pt x="316" y="393"/>
              </a:lnTo>
              <a:lnTo>
                <a:pt x="319" y="384"/>
              </a:lnTo>
              <a:lnTo>
                <a:pt x="321" y="379"/>
              </a:lnTo>
              <a:lnTo>
                <a:pt x="317" y="373"/>
              </a:lnTo>
              <a:lnTo>
                <a:pt x="323" y="368"/>
              </a:lnTo>
              <a:lnTo>
                <a:pt x="320" y="363"/>
              </a:lnTo>
              <a:lnTo>
                <a:pt x="325" y="360"/>
              </a:lnTo>
              <a:lnTo>
                <a:pt x="323" y="355"/>
              </a:lnTo>
              <a:lnTo>
                <a:pt x="322" y="349"/>
              </a:lnTo>
              <a:lnTo>
                <a:pt x="324" y="344"/>
              </a:lnTo>
              <a:lnTo>
                <a:pt x="326" y="349"/>
              </a:lnTo>
              <a:lnTo>
                <a:pt x="325" y="353"/>
              </a:lnTo>
              <a:lnTo>
                <a:pt x="329" y="349"/>
              </a:lnTo>
              <a:lnTo>
                <a:pt x="330" y="341"/>
              </a:lnTo>
              <a:lnTo>
                <a:pt x="335" y="339"/>
              </a:lnTo>
              <a:lnTo>
                <a:pt x="339" y="341"/>
              </a:lnTo>
              <a:lnTo>
                <a:pt x="341" y="333"/>
              </a:lnTo>
              <a:lnTo>
                <a:pt x="339" y="328"/>
              </a:lnTo>
              <a:lnTo>
                <a:pt x="343" y="324"/>
              </a:lnTo>
              <a:lnTo>
                <a:pt x="342" y="316"/>
              </a:lnTo>
              <a:lnTo>
                <a:pt x="342" y="309"/>
              </a:lnTo>
              <a:lnTo>
                <a:pt x="342" y="305"/>
              </a:lnTo>
              <a:lnTo>
                <a:pt x="336" y="301"/>
              </a:lnTo>
              <a:lnTo>
                <a:pt x="332" y="304"/>
              </a:lnTo>
              <a:lnTo>
                <a:pt x="325" y="292"/>
              </a:lnTo>
              <a:lnTo>
                <a:pt x="320" y="281"/>
              </a:lnTo>
              <a:lnTo>
                <a:pt x="323" y="276"/>
              </a:lnTo>
              <a:lnTo>
                <a:pt x="324" y="269"/>
              </a:lnTo>
              <a:lnTo>
                <a:pt x="319" y="259"/>
              </a:lnTo>
              <a:lnTo>
                <a:pt x="318" y="247"/>
              </a:lnTo>
              <a:lnTo>
                <a:pt x="314" y="244"/>
              </a:lnTo>
              <a:lnTo>
                <a:pt x="310" y="241"/>
              </a:lnTo>
              <a:lnTo>
                <a:pt x="307" y="235"/>
              </a:lnTo>
              <a:lnTo>
                <a:pt x="300" y="229"/>
              </a:lnTo>
              <a:lnTo>
                <a:pt x="296" y="232"/>
              </a:lnTo>
              <a:lnTo>
                <a:pt x="295" y="225"/>
              </a:lnTo>
              <a:lnTo>
                <a:pt x="293" y="225"/>
              </a:lnTo>
              <a:lnTo>
                <a:pt x="280" y="213"/>
              </a:lnTo>
              <a:lnTo>
                <a:pt x="273" y="203"/>
              </a:lnTo>
              <a:lnTo>
                <a:pt x="272" y="197"/>
              </a:lnTo>
              <a:lnTo>
                <a:pt x="272" y="192"/>
              </a:lnTo>
              <a:lnTo>
                <a:pt x="275" y="187"/>
              </a:lnTo>
              <a:lnTo>
                <a:pt x="277" y="176"/>
              </a:lnTo>
              <a:lnTo>
                <a:pt x="280" y="168"/>
              </a:lnTo>
              <a:lnTo>
                <a:pt x="279" y="159"/>
              </a:lnTo>
              <a:lnTo>
                <a:pt x="282" y="152"/>
              </a:lnTo>
              <a:lnTo>
                <a:pt x="282" y="149"/>
              </a:lnTo>
              <a:lnTo>
                <a:pt x="274" y="143"/>
              </a:lnTo>
              <a:lnTo>
                <a:pt x="270" y="141"/>
              </a:lnTo>
              <a:lnTo>
                <a:pt x="266" y="140"/>
              </a:lnTo>
              <a:lnTo>
                <a:pt x="264" y="140"/>
              </a:lnTo>
              <a:lnTo>
                <a:pt x="262" y="145"/>
              </a:lnTo>
              <a:lnTo>
                <a:pt x="257" y="147"/>
              </a:lnTo>
              <a:lnTo>
                <a:pt x="254" y="141"/>
              </a:lnTo>
              <a:lnTo>
                <a:pt x="250" y="117"/>
              </a:lnTo>
              <a:lnTo>
                <a:pt x="247" y="112"/>
              </a:lnTo>
              <a:lnTo>
                <a:pt x="243" y="108"/>
              </a:lnTo>
              <a:lnTo>
                <a:pt x="233" y="100"/>
              </a:lnTo>
              <a:lnTo>
                <a:pt x="231" y="95"/>
              </a:lnTo>
              <a:lnTo>
                <a:pt x="227" y="91"/>
              </a:lnTo>
              <a:lnTo>
                <a:pt x="223" y="84"/>
              </a:lnTo>
              <a:lnTo>
                <a:pt x="217" y="79"/>
              </a:lnTo>
              <a:lnTo>
                <a:pt x="216" y="73"/>
              </a:lnTo>
              <a:lnTo>
                <a:pt x="214" y="68"/>
              </a:lnTo>
              <a:lnTo>
                <a:pt x="211" y="57"/>
              </a:lnTo>
              <a:lnTo>
                <a:pt x="210" y="55"/>
              </a:lnTo>
              <a:lnTo>
                <a:pt x="208" y="43"/>
              </a:lnTo>
              <a:lnTo>
                <a:pt x="208" y="32"/>
              </a:lnTo>
              <a:lnTo>
                <a:pt x="209" y="27"/>
              </a:lnTo>
              <a:lnTo>
                <a:pt x="211" y="21"/>
              </a:lnTo>
              <a:lnTo>
                <a:pt x="209" y="20"/>
              </a:lnTo>
              <a:lnTo>
                <a:pt x="206" y="15"/>
              </a:lnTo>
              <a:lnTo>
                <a:pt x="198" y="7"/>
              </a:lnTo>
              <a:lnTo>
                <a:pt x="195" y="0"/>
              </a:lnTo>
              <a:lnTo>
                <a:pt x="163" y="5"/>
              </a:lnTo>
              <a:lnTo>
                <a:pt x="88" y="11"/>
              </a:lnTo>
              <a:lnTo>
                <a:pt x="54" y="12"/>
              </a:lnTo>
              <a:lnTo>
                <a:pt x="0" y="12"/>
              </a:lnTo>
              <a:lnTo>
                <a:pt x="0" y="12"/>
              </a:lnTo>
              <a:lnTo>
                <a:pt x="0" y="12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527E7E18-F266-46C6-9881-4909FCF3AEB2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MO
5400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236788</xdr:colOff>
      <xdr:row>19</xdr:row>
      <xdr:rowOff>29841</xdr:rowOff>
    </xdr:from>
    <xdr:to>
      <xdr:col>8</xdr:col>
      <xdr:colOff>188578</xdr:colOff>
      <xdr:row>22</xdr:row>
      <xdr:rowOff>75685</xdr:rowOff>
    </xdr:to>
    <xdr:sp macro="" textlink="data!E13">
      <xdr:nvSpPr>
        <xdr:cNvPr id="200" name="AR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>
          <a:spLocks/>
        </xdr:cNvSpPr>
      </xdr:nvSpPr>
      <xdr:spPr bwMode="auto">
        <a:xfrm>
          <a:off x="5113588" y="3106416"/>
          <a:ext cx="561390" cy="531619"/>
        </a:xfrm>
        <a:custGeom>
          <a:avLst/>
          <a:gdLst>
            <a:gd name="T0" fmla="*/ 9 w 256"/>
            <a:gd name="T1" fmla="*/ 88 h 317"/>
            <a:gd name="T2" fmla="*/ 12 w 256"/>
            <a:gd name="T3" fmla="*/ 262 h 317"/>
            <a:gd name="T4" fmla="*/ 14 w 256"/>
            <a:gd name="T5" fmla="*/ 266 h 317"/>
            <a:gd name="T6" fmla="*/ 22 w 256"/>
            <a:gd name="T7" fmla="*/ 266 h 317"/>
            <a:gd name="T8" fmla="*/ 37 w 256"/>
            <a:gd name="T9" fmla="*/ 317 h 317"/>
            <a:gd name="T10" fmla="*/ 191 w 256"/>
            <a:gd name="T11" fmla="*/ 306 h 317"/>
            <a:gd name="T12" fmla="*/ 190 w 256"/>
            <a:gd name="T13" fmla="*/ 294 h 317"/>
            <a:gd name="T14" fmla="*/ 195 w 256"/>
            <a:gd name="T15" fmla="*/ 293 h 317"/>
            <a:gd name="T16" fmla="*/ 192 w 256"/>
            <a:gd name="T17" fmla="*/ 284 h 317"/>
            <a:gd name="T18" fmla="*/ 192 w 256"/>
            <a:gd name="T19" fmla="*/ 272 h 317"/>
            <a:gd name="T20" fmla="*/ 188 w 256"/>
            <a:gd name="T21" fmla="*/ 272 h 317"/>
            <a:gd name="T22" fmla="*/ 189 w 256"/>
            <a:gd name="T23" fmla="*/ 264 h 317"/>
            <a:gd name="T24" fmla="*/ 188 w 256"/>
            <a:gd name="T25" fmla="*/ 262 h 317"/>
            <a:gd name="T26" fmla="*/ 189 w 256"/>
            <a:gd name="T27" fmla="*/ 254 h 317"/>
            <a:gd name="T28" fmla="*/ 188 w 256"/>
            <a:gd name="T29" fmla="*/ 246 h 317"/>
            <a:gd name="T30" fmla="*/ 194 w 256"/>
            <a:gd name="T31" fmla="*/ 245 h 317"/>
            <a:gd name="T32" fmla="*/ 189 w 256"/>
            <a:gd name="T33" fmla="*/ 238 h 317"/>
            <a:gd name="T34" fmla="*/ 194 w 256"/>
            <a:gd name="T35" fmla="*/ 236 h 317"/>
            <a:gd name="T36" fmla="*/ 194 w 256"/>
            <a:gd name="T37" fmla="*/ 225 h 317"/>
            <a:gd name="T38" fmla="*/ 202 w 256"/>
            <a:gd name="T39" fmla="*/ 216 h 317"/>
            <a:gd name="T40" fmla="*/ 200 w 256"/>
            <a:gd name="T41" fmla="*/ 205 h 317"/>
            <a:gd name="T42" fmla="*/ 199 w 256"/>
            <a:gd name="T43" fmla="*/ 200 h 317"/>
            <a:gd name="T44" fmla="*/ 204 w 256"/>
            <a:gd name="T45" fmla="*/ 198 h 317"/>
            <a:gd name="T46" fmla="*/ 207 w 256"/>
            <a:gd name="T47" fmla="*/ 188 h 317"/>
            <a:gd name="T48" fmla="*/ 214 w 256"/>
            <a:gd name="T49" fmla="*/ 185 h 317"/>
            <a:gd name="T50" fmla="*/ 216 w 256"/>
            <a:gd name="T51" fmla="*/ 176 h 317"/>
            <a:gd name="T52" fmla="*/ 215 w 256"/>
            <a:gd name="T53" fmla="*/ 166 h 317"/>
            <a:gd name="T54" fmla="*/ 217 w 256"/>
            <a:gd name="T55" fmla="*/ 162 h 317"/>
            <a:gd name="T56" fmla="*/ 217 w 256"/>
            <a:gd name="T57" fmla="*/ 157 h 317"/>
            <a:gd name="T58" fmla="*/ 218 w 256"/>
            <a:gd name="T59" fmla="*/ 154 h 317"/>
            <a:gd name="T60" fmla="*/ 220 w 256"/>
            <a:gd name="T61" fmla="*/ 142 h 317"/>
            <a:gd name="T62" fmla="*/ 227 w 256"/>
            <a:gd name="T63" fmla="*/ 144 h 317"/>
            <a:gd name="T64" fmla="*/ 230 w 256"/>
            <a:gd name="T65" fmla="*/ 133 h 317"/>
            <a:gd name="T66" fmla="*/ 229 w 256"/>
            <a:gd name="T67" fmla="*/ 129 h 317"/>
            <a:gd name="T68" fmla="*/ 235 w 256"/>
            <a:gd name="T69" fmla="*/ 121 h 317"/>
            <a:gd name="T70" fmla="*/ 239 w 256"/>
            <a:gd name="T71" fmla="*/ 117 h 317"/>
            <a:gd name="T72" fmla="*/ 238 w 256"/>
            <a:gd name="T73" fmla="*/ 96 h 317"/>
            <a:gd name="T74" fmla="*/ 235 w 256"/>
            <a:gd name="T75" fmla="*/ 92 h 317"/>
            <a:gd name="T76" fmla="*/ 240 w 256"/>
            <a:gd name="T77" fmla="*/ 93 h 317"/>
            <a:gd name="T78" fmla="*/ 239 w 256"/>
            <a:gd name="T79" fmla="*/ 84 h 317"/>
            <a:gd name="T80" fmla="*/ 244 w 256"/>
            <a:gd name="T81" fmla="*/ 77 h 317"/>
            <a:gd name="T82" fmla="*/ 244 w 256"/>
            <a:gd name="T83" fmla="*/ 69 h 317"/>
            <a:gd name="T84" fmla="*/ 246 w 256"/>
            <a:gd name="T85" fmla="*/ 65 h 317"/>
            <a:gd name="T86" fmla="*/ 254 w 256"/>
            <a:gd name="T87" fmla="*/ 57 h 317"/>
            <a:gd name="T88" fmla="*/ 256 w 256"/>
            <a:gd name="T89" fmla="*/ 49 h 317"/>
            <a:gd name="T90" fmla="*/ 254 w 256"/>
            <a:gd name="T91" fmla="*/ 41 h 317"/>
            <a:gd name="T92" fmla="*/ 222 w 256"/>
            <a:gd name="T93" fmla="*/ 40 h 317"/>
            <a:gd name="T94" fmla="*/ 227 w 256"/>
            <a:gd name="T95" fmla="*/ 28 h 317"/>
            <a:gd name="T96" fmla="*/ 235 w 256"/>
            <a:gd name="T97" fmla="*/ 20 h 317"/>
            <a:gd name="T98" fmla="*/ 233 w 256"/>
            <a:gd name="T99" fmla="*/ 9 h 317"/>
            <a:gd name="T100" fmla="*/ 226 w 256"/>
            <a:gd name="T101" fmla="*/ 0 h 317"/>
            <a:gd name="T102" fmla="*/ 51 w 256"/>
            <a:gd name="T103" fmla="*/ 13 h 317"/>
            <a:gd name="T104" fmla="*/ 0 w 256"/>
            <a:gd name="T105" fmla="*/ 15 h 3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</a:cxnLst>
          <a:rect l="0" t="0" r="r" b="b"/>
          <a:pathLst>
            <a:path w="256" h="317">
              <a:moveTo>
                <a:pt x="0" y="15"/>
              </a:moveTo>
              <a:lnTo>
                <a:pt x="9" y="88"/>
              </a:lnTo>
              <a:lnTo>
                <a:pt x="11" y="112"/>
              </a:lnTo>
              <a:lnTo>
                <a:pt x="12" y="262"/>
              </a:lnTo>
              <a:lnTo>
                <a:pt x="13" y="264"/>
              </a:lnTo>
              <a:lnTo>
                <a:pt x="14" y="266"/>
              </a:lnTo>
              <a:lnTo>
                <a:pt x="18" y="270"/>
              </a:lnTo>
              <a:lnTo>
                <a:pt x="22" y="266"/>
              </a:lnTo>
              <a:lnTo>
                <a:pt x="35" y="269"/>
              </a:lnTo>
              <a:lnTo>
                <a:pt x="37" y="317"/>
              </a:lnTo>
              <a:lnTo>
                <a:pt x="103" y="313"/>
              </a:lnTo>
              <a:lnTo>
                <a:pt x="191" y="306"/>
              </a:lnTo>
              <a:lnTo>
                <a:pt x="191" y="300"/>
              </a:lnTo>
              <a:lnTo>
                <a:pt x="190" y="294"/>
              </a:lnTo>
              <a:lnTo>
                <a:pt x="194" y="294"/>
              </a:lnTo>
              <a:lnTo>
                <a:pt x="195" y="293"/>
              </a:lnTo>
              <a:lnTo>
                <a:pt x="194" y="285"/>
              </a:lnTo>
              <a:lnTo>
                <a:pt x="192" y="284"/>
              </a:lnTo>
              <a:lnTo>
                <a:pt x="191" y="277"/>
              </a:lnTo>
              <a:lnTo>
                <a:pt x="192" y="272"/>
              </a:lnTo>
              <a:lnTo>
                <a:pt x="192" y="273"/>
              </a:lnTo>
              <a:lnTo>
                <a:pt x="188" y="272"/>
              </a:lnTo>
              <a:lnTo>
                <a:pt x="192" y="268"/>
              </a:lnTo>
              <a:lnTo>
                <a:pt x="189" y="264"/>
              </a:lnTo>
              <a:lnTo>
                <a:pt x="185" y="269"/>
              </a:lnTo>
              <a:lnTo>
                <a:pt x="188" y="262"/>
              </a:lnTo>
              <a:lnTo>
                <a:pt x="185" y="257"/>
              </a:lnTo>
              <a:lnTo>
                <a:pt x="189" y="254"/>
              </a:lnTo>
              <a:lnTo>
                <a:pt x="186" y="248"/>
              </a:lnTo>
              <a:lnTo>
                <a:pt x="188" y="246"/>
              </a:lnTo>
              <a:lnTo>
                <a:pt x="190" y="248"/>
              </a:lnTo>
              <a:lnTo>
                <a:pt x="194" y="245"/>
              </a:lnTo>
              <a:lnTo>
                <a:pt x="189" y="244"/>
              </a:lnTo>
              <a:lnTo>
                <a:pt x="189" y="238"/>
              </a:lnTo>
              <a:lnTo>
                <a:pt x="194" y="238"/>
              </a:lnTo>
              <a:lnTo>
                <a:pt x="194" y="236"/>
              </a:lnTo>
              <a:lnTo>
                <a:pt x="194" y="230"/>
              </a:lnTo>
              <a:lnTo>
                <a:pt x="194" y="225"/>
              </a:lnTo>
              <a:lnTo>
                <a:pt x="192" y="222"/>
              </a:lnTo>
              <a:lnTo>
                <a:pt x="202" y="216"/>
              </a:lnTo>
              <a:lnTo>
                <a:pt x="200" y="210"/>
              </a:lnTo>
              <a:lnTo>
                <a:pt x="200" y="205"/>
              </a:lnTo>
              <a:lnTo>
                <a:pt x="202" y="204"/>
              </a:lnTo>
              <a:lnTo>
                <a:pt x="199" y="200"/>
              </a:lnTo>
              <a:lnTo>
                <a:pt x="203" y="201"/>
              </a:lnTo>
              <a:lnTo>
                <a:pt x="204" y="198"/>
              </a:lnTo>
              <a:lnTo>
                <a:pt x="208" y="193"/>
              </a:lnTo>
              <a:lnTo>
                <a:pt x="207" y="188"/>
              </a:lnTo>
              <a:lnTo>
                <a:pt x="211" y="188"/>
              </a:lnTo>
              <a:lnTo>
                <a:pt x="214" y="185"/>
              </a:lnTo>
              <a:lnTo>
                <a:pt x="217" y="180"/>
              </a:lnTo>
              <a:lnTo>
                <a:pt x="216" y="176"/>
              </a:lnTo>
              <a:lnTo>
                <a:pt x="218" y="169"/>
              </a:lnTo>
              <a:lnTo>
                <a:pt x="215" y="166"/>
              </a:lnTo>
              <a:lnTo>
                <a:pt x="216" y="157"/>
              </a:lnTo>
              <a:lnTo>
                <a:pt x="217" y="162"/>
              </a:lnTo>
              <a:lnTo>
                <a:pt x="221" y="160"/>
              </a:lnTo>
              <a:lnTo>
                <a:pt x="217" y="157"/>
              </a:lnTo>
              <a:lnTo>
                <a:pt x="217" y="149"/>
              </a:lnTo>
              <a:lnTo>
                <a:pt x="218" y="154"/>
              </a:lnTo>
              <a:lnTo>
                <a:pt x="221" y="154"/>
              </a:lnTo>
              <a:lnTo>
                <a:pt x="220" y="142"/>
              </a:lnTo>
              <a:lnTo>
                <a:pt x="222" y="146"/>
              </a:lnTo>
              <a:lnTo>
                <a:pt x="227" y="144"/>
              </a:lnTo>
              <a:lnTo>
                <a:pt x="231" y="138"/>
              </a:lnTo>
              <a:lnTo>
                <a:pt x="230" y="133"/>
              </a:lnTo>
              <a:lnTo>
                <a:pt x="228" y="130"/>
              </a:lnTo>
              <a:lnTo>
                <a:pt x="229" y="129"/>
              </a:lnTo>
              <a:lnTo>
                <a:pt x="233" y="126"/>
              </a:lnTo>
              <a:lnTo>
                <a:pt x="235" y="121"/>
              </a:lnTo>
              <a:lnTo>
                <a:pt x="239" y="120"/>
              </a:lnTo>
              <a:lnTo>
                <a:pt x="239" y="117"/>
              </a:lnTo>
              <a:lnTo>
                <a:pt x="237" y="103"/>
              </a:lnTo>
              <a:lnTo>
                <a:pt x="238" y="96"/>
              </a:lnTo>
              <a:lnTo>
                <a:pt x="234" y="97"/>
              </a:lnTo>
              <a:lnTo>
                <a:pt x="235" y="92"/>
              </a:lnTo>
              <a:lnTo>
                <a:pt x="239" y="89"/>
              </a:lnTo>
              <a:lnTo>
                <a:pt x="240" y="93"/>
              </a:lnTo>
              <a:lnTo>
                <a:pt x="242" y="89"/>
              </a:lnTo>
              <a:lnTo>
                <a:pt x="239" y="84"/>
              </a:lnTo>
              <a:lnTo>
                <a:pt x="242" y="81"/>
              </a:lnTo>
              <a:lnTo>
                <a:pt x="244" y="77"/>
              </a:lnTo>
              <a:lnTo>
                <a:pt x="247" y="75"/>
              </a:lnTo>
              <a:lnTo>
                <a:pt x="244" y="69"/>
              </a:lnTo>
              <a:lnTo>
                <a:pt x="244" y="68"/>
              </a:lnTo>
              <a:lnTo>
                <a:pt x="246" y="65"/>
              </a:lnTo>
              <a:lnTo>
                <a:pt x="250" y="63"/>
              </a:lnTo>
              <a:lnTo>
                <a:pt x="254" y="57"/>
              </a:lnTo>
              <a:lnTo>
                <a:pt x="252" y="52"/>
              </a:lnTo>
              <a:lnTo>
                <a:pt x="256" y="49"/>
              </a:lnTo>
              <a:lnTo>
                <a:pt x="255" y="44"/>
              </a:lnTo>
              <a:lnTo>
                <a:pt x="254" y="41"/>
              </a:lnTo>
              <a:lnTo>
                <a:pt x="224" y="45"/>
              </a:lnTo>
              <a:lnTo>
                <a:pt x="222" y="40"/>
              </a:lnTo>
              <a:lnTo>
                <a:pt x="224" y="35"/>
              </a:lnTo>
              <a:lnTo>
                <a:pt x="227" y="28"/>
              </a:lnTo>
              <a:lnTo>
                <a:pt x="231" y="25"/>
              </a:lnTo>
              <a:lnTo>
                <a:pt x="235" y="20"/>
              </a:lnTo>
              <a:lnTo>
                <a:pt x="235" y="15"/>
              </a:lnTo>
              <a:lnTo>
                <a:pt x="233" y="9"/>
              </a:lnTo>
              <a:lnTo>
                <a:pt x="230" y="4"/>
              </a:lnTo>
              <a:lnTo>
                <a:pt x="226" y="0"/>
              </a:lnTo>
              <a:lnTo>
                <a:pt x="133" y="8"/>
              </a:lnTo>
              <a:lnTo>
                <a:pt x="51" y="13"/>
              </a:lnTo>
              <a:lnTo>
                <a:pt x="0" y="15"/>
              </a:lnTo>
              <a:lnTo>
                <a:pt x="0" y="15"/>
              </a:lnTo>
              <a:lnTo>
                <a:pt x="0" y="15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863EA1A8-4615-4CFC-8859-811F80602845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AR
5861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304328</xdr:colOff>
      <xdr:row>22</xdr:row>
      <xdr:rowOff>50167</xdr:rowOff>
    </xdr:from>
    <xdr:to>
      <xdr:col>8</xdr:col>
      <xdr:colOff>319912</xdr:colOff>
      <xdr:row>25</xdr:row>
      <xdr:rowOff>138541</xdr:rowOff>
    </xdr:to>
    <xdr:sp macro="" textlink="data!E29">
      <xdr:nvSpPr>
        <xdr:cNvPr id="201" name="LA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>
          <a:spLocks/>
        </xdr:cNvSpPr>
      </xdr:nvSpPr>
      <xdr:spPr bwMode="auto">
        <a:xfrm>
          <a:off x="4876328" y="3522710"/>
          <a:ext cx="668727" cy="561902"/>
        </a:xfrm>
        <a:custGeom>
          <a:avLst/>
          <a:gdLst>
            <a:gd name="T0" fmla="*/ 15 w 290"/>
            <a:gd name="T1" fmla="*/ 123 h 343"/>
            <a:gd name="T2" fmla="*/ 23 w 290"/>
            <a:gd name="T3" fmla="*/ 150 h 343"/>
            <a:gd name="T4" fmla="*/ 32 w 290"/>
            <a:gd name="T5" fmla="*/ 178 h 343"/>
            <a:gd name="T6" fmla="*/ 28 w 290"/>
            <a:gd name="T7" fmla="*/ 204 h 343"/>
            <a:gd name="T8" fmla="*/ 21 w 290"/>
            <a:gd name="T9" fmla="*/ 238 h 343"/>
            <a:gd name="T10" fmla="*/ 19 w 290"/>
            <a:gd name="T11" fmla="*/ 270 h 343"/>
            <a:gd name="T12" fmla="*/ 15 w 290"/>
            <a:gd name="T13" fmla="*/ 291 h 343"/>
            <a:gd name="T14" fmla="*/ 40 w 290"/>
            <a:gd name="T15" fmla="*/ 282 h 343"/>
            <a:gd name="T16" fmla="*/ 50 w 290"/>
            <a:gd name="T17" fmla="*/ 279 h 343"/>
            <a:gd name="T18" fmla="*/ 62 w 290"/>
            <a:gd name="T19" fmla="*/ 290 h 343"/>
            <a:gd name="T20" fmla="*/ 106 w 290"/>
            <a:gd name="T21" fmla="*/ 304 h 343"/>
            <a:gd name="T22" fmla="*/ 114 w 290"/>
            <a:gd name="T23" fmla="*/ 287 h 343"/>
            <a:gd name="T24" fmla="*/ 128 w 290"/>
            <a:gd name="T25" fmla="*/ 287 h 343"/>
            <a:gd name="T26" fmla="*/ 147 w 290"/>
            <a:gd name="T27" fmla="*/ 302 h 343"/>
            <a:gd name="T28" fmla="*/ 163 w 290"/>
            <a:gd name="T29" fmla="*/ 295 h 343"/>
            <a:gd name="T30" fmla="*/ 170 w 290"/>
            <a:gd name="T31" fmla="*/ 315 h 343"/>
            <a:gd name="T32" fmla="*/ 186 w 290"/>
            <a:gd name="T33" fmla="*/ 334 h 343"/>
            <a:gd name="T34" fmla="*/ 199 w 290"/>
            <a:gd name="T35" fmla="*/ 324 h 343"/>
            <a:gd name="T36" fmla="*/ 212 w 290"/>
            <a:gd name="T37" fmla="*/ 320 h 343"/>
            <a:gd name="T38" fmla="*/ 226 w 290"/>
            <a:gd name="T39" fmla="*/ 332 h 343"/>
            <a:gd name="T40" fmla="*/ 232 w 290"/>
            <a:gd name="T41" fmla="*/ 304 h 343"/>
            <a:gd name="T42" fmla="*/ 242 w 290"/>
            <a:gd name="T43" fmla="*/ 302 h 343"/>
            <a:gd name="T44" fmla="*/ 253 w 290"/>
            <a:gd name="T45" fmla="*/ 311 h 343"/>
            <a:gd name="T46" fmla="*/ 269 w 290"/>
            <a:gd name="T47" fmla="*/ 327 h 343"/>
            <a:gd name="T48" fmla="*/ 269 w 290"/>
            <a:gd name="T49" fmla="*/ 343 h 343"/>
            <a:gd name="T50" fmla="*/ 285 w 290"/>
            <a:gd name="T51" fmla="*/ 331 h 343"/>
            <a:gd name="T52" fmla="*/ 286 w 290"/>
            <a:gd name="T53" fmla="*/ 318 h 343"/>
            <a:gd name="T54" fmla="*/ 263 w 290"/>
            <a:gd name="T55" fmla="*/ 304 h 343"/>
            <a:gd name="T56" fmla="*/ 254 w 290"/>
            <a:gd name="T57" fmla="*/ 286 h 343"/>
            <a:gd name="T58" fmla="*/ 256 w 290"/>
            <a:gd name="T59" fmla="*/ 275 h 343"/>
            <a:gd name="T60" fmla="*/ 267 w 290"/>
            <a:gd name="T61" fmla="*/ 260 h 343"/>
            <a:gd name="T62" fmla="*/ 255 w 290"/>
            <a:gd name="T63" fmla="*/ 258 h 343"/>
            <a:gd name="T64" fmla="*/ 240 w 290"/>
            <a:gd name="T65" fmla="*/ 255 h 343"/>
            <a:gd name="T66" fmla="*/ 245 w 290"/>
            <a:gd name="T67" fmla="*/ 244 h 343"/>
            <a:gd name="T68" fmla="*/ 231 w 290"/>
            <a:gd name="T69" fmla="*/ 248 h 343"/>
            <a:gd name="T70" fmla="*/ 210 w 290"/>
            <a:gd name="T71" fmla="*/ 236 h 343"/>
            <a:gd name="T72" fmla="*/ 234 w 290"/>
            <a:gd name="T73" fmla="*/ 232 h 343"/>
            <a:gd name="T74" fmla="*/ 251 w 290"/>
            <a:gd name="T75" fmla="*/ 239 h 343"/>
            <a:gd name="T76" fmla="*/ 252 w 290"/>
            <a:gd name="T77" fmla="*/ 232 h 343"/>
            <a:gd name="T78" fmla="*/ 241 w 290"/>
            <a:gd name="T79" fmla="*/ 206 h 343"/>
            <a:gd name="T80" fmla="*/ 242 w 290"/>
            <a:gd name="T81" fmla="*/ 168 h 343"/>
            <a:gd name="T82" fmla="*/ 137 w 290"/>
            <a:gd name="T83" fmla="*/ 166 h 343"/>
            <a:gd name="T84" fmla="*/ 138 w 290"/>
            <a:gd name="T85" fmla="*/ 143 h 343"/>
            <a:gd name="T86" fmla="*/ 142 w 290"/>
            <a:gd name="T87" fmla="*/ 124 h 343"/>
            <a:gd name="T88" fmla="*/ 150 w 290"/>
            <a:gd name="T89" fmla="*/ 102 h 343"/>
            <a:gd name="T90" fmla="*/ 163 w 290"/>
            <a:gd name="T91" fmla="*/ 82 h 343"/>
            <a:gd name="T92" fmla="*/ 160 w 290"/>
            <a:gd name="T93" fmla="*/ 68 h 343"/>
            <a:gd name="T94" fmla="*/ 171 w 290"/>
            <a:gd name="T95" fmla="*/ 58 h 343"/>
            <a:gd name="T96" fmla="*/ 160 w 290"/>
            <a:gd name="T97" fmla="*/ 43 h 343"/>
            <a:gd name="T98" fmla="*/ 156 w 290"/>
            <a:gd name="T99" fmla="*/ 32 h 343"/>
            <a:gd name="T100" fmla="*/ 159 w 290"/>
            <a:gd name="T101" fmla="*/ 6 h 343"/>
            <a:gd name="T102" fmla="*/ 66 w 290"/>
            <a:gd name="T103" fmla="*/ 7 h 34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90" h="343">
              <a:moveTo>
                <a:pt x="0" y="11"/>
              </a:moveTo>
              <a:lnTo>
                <a:pt x="2" y="98"/>
              </a:lnTo>
              <a:lnTo>
                <a:pt x="9" y="107"/>
              </a:lnTo>
              <a:lnTo>
                <a:pt x="11" y="112"/>
              </a:lnTo>
              <a:lnTo>
                <a:pt x="15" y="123"/>
              </a:lnTo>
              <a:lnTo>
                <a:pt x="14" y="131"/>
              </a:lnTo>
              <a:lnTo>
                <a:pt x="17" y="136"/>
              </a:lnTo>
              <a:lnTo>
                <a:pt x="19" y="143"/>
              </a:lnTo>
              <a:lnTo>
                <a:pt x="21" y="144"/>
              </a:lnTo>
              <a:lnTo>
                <a:pt x="23" y="150"/>
              </a:lnTo>
              <a:lnTo>
                <a:pt x="23" y="155"/>
              </a:lnTo>
              <a:lnTo>
                <a:pt x="29" y="166"/>
              </a:lnTo>
              <a:lnTo>
                <a:pt x="31" y="167"/>
              </a:lnTo>
              <a:lnTo>
                <a:pt x="31" y="172"/>
              </a:lnTo>
              <a:lnTo>
                <a:pt x="32" y="178"/>
              </a:lnTo>
              <a:lnTo>
                <a:pt x="30" y="182"/>
              </a:lnTo>
              <a:lnTo>
                <a:pt x="31" y="187"/>
              </a:lnTo>
              <a:lnTo>
                <a:pt x="30" y="192"/>
              </a:lnTo>
              <a:lnTo>
                <a:pt x="31" y="199"/>
              </a:lnTo>
              <a:lnTo>
                <a:pt x="28" y="204"/>
              </a:lnTo>
              <a:lnTo>
                <a:pt x="27" y="210"/>
              </a:lnTo>
              <a:lnTo>
                <a:pt x="24" y="215"/>
              </a:lnTo>
              <a:lnTo>
                <a:pt x="22" y="220"/>
              </a:lnTo>
              <a:lnTo>
                <a:pt x="23" y="231"/>
              </a:lnTo>
              <a:lnTo>
                <a:pt x="21" y="238"/>
              </a:lnTo>
              <a:lnTo>
                <a:pt x="23" y="244"/>
              </a:lnTo>
              <a:lnTo>
                <a:pt x="25" y="258"/>
              </a:lnTo>
              <a:lnTo>
                <a:pt x="23" y="264"/>
              </a:lnTo>
              <a:lnTo>
                <a:pt x="19" y="270"/>
              </a:lnTo>
              <a:lnTo>
                <a:pt x="19" y="270"/>
              </a:lnTo>
              <a:lnTo>
                <a:pt x="19" y="270"/>
              </a:lnTo>
              <a:lnTo>
                <a:pt x="21" y="276"/>
              </a:lnTo>
              <a:lnTo>
                <a:pt x="19" y="282"/>
              </a:lnTo>
              <a:lnTo>
                <a:pt x="15" y="284"/>
              </a:lnTo>
              <a:lnTo>
                <a:pt x="15" y="291"/>
              </a:lnTo>
              <a:lnTo>
                <a:pt x="19" y="295"/>
              </a:lnTo>
              <a:lnTo>
                <a:pt x="23" y="291"/>
              </a:lnTo>
              <a:lnTo>
                <a:pt x="43" y="288"/>
              </a:lnTo>
              <a:lnTo>
                <a:pt x="44" y="286"/>
              </a:lnTo>
              <a:lnTo>
                <a:pt x="40" y="282"/>
              </a:lnTo>
              <a:lnTo>
                <a:pt x="44" y="278"/>
              </a:lnTo>
              <a:lnTo>
                <a:pt x="45" y="263"/>
              </a:lnTo>
              <a:lnTo>
                <a:pt x="49" y="268"/>
              </a:lnTo>
              <a:lnTo>
                <a:pt x="50" y="274"/>
              </a:lnTo>
              <a:lnTo>
                <a:pt x="50" y="279"/>
              </a:lnTo>
              <a:lnTo>
                <a:pt x="46" y="282"/>
              </a:lnTo>
              <a:lnTo>
                <a:pt x="45" y="284"/>
              </a:lnTo>
              <a:lnTo>
                <a:pt x="49" y="287"/>
              </a:lnTo>
              <a:lnTo>
                <a:pt x="53" y="287"/>
              </a:lnTo>
              <a:lnTo>
                <a:pt x="62" y="290"/>
              </a:lnTo>
              <a:lnTo>
                <a:pt x="70" y="294"/>
              </a:lnTo>
              <a:lnTo>
                <a:pt x="74" y="298"/>
              </a:lnTo>
              <a:lnTo>
                <a:pt x="82" y="300"/>
              </a:lnTo>
              <a:lnTo>
                <a:pt x="102" y="304"/>
              </a:lnTo>
              <a:lnTo>
                <a:pt x="106" y="304"/>
              </a:lnTo>
              <a:lnTo>
                <a:pt x="112" y="300"/>
              </a:lnTo>
              <a:lnTo>
                <a:pt x="116" y="300"/>
              </a:lnTo>
              <a:lnTo>
                <a:pt x="114" y="291"/>
              </a:lnTo>
              <a:lnTo>
                <a:pt x="110" y="287"/>
              </a:lnTo>
              <a:lnTo>
                <a:pt x="114" y="287"/>
              </a:lnTo>
              <a:lnTo>
                <a:pt x="116" y="284"/>
              </a:lnTo>
              <a:lnTo>
                <a:pt x="120" y="282"/>
              </a:lnTo>
              <a:lnTo>
                <a:pt x="128" y="278"/>
              </a:lnTo>
              <a:lnTo>
                <a:pt x="127" y="284"/>
              </a:lnTo>
              <a:lnTo>
                <a:pt x="128" y="287"/>
              </a:lnTo>
              <a:lnTo>
                <a:pt x="132" y="286"/>
              </a:lnTo>
              <a:lnTo>
                <a:pt x="140" y="284"/>
              </a:lnTo>
              <a:lnTo>
                <a:pt x="141" y="291"/>
              </a:lnTo>
              <a:lnTo>
                <a:pt x="145" y="294"/>
              </a:lnTo>
              <a:lnTo>
                <a:pt x="147" y="302"/>
              </a:lnTo>
              <a:lnTo>
                <a:pt x="151" y="302"/>
              </a:lnTo>
              <a:lnTo>
                <a:pt x="159" y="304"/>
              </a:lnTo>
              <a:lnTo>
                <a:pt x="162" y="299"/>
              </a:lnTo>
              <a:lnTo>
                <a:pt x="163" y="299"/>
              </a:lnTo>
              <a:lnTo>
                <a:pt x="163" y="295"/>
              </a:lnTo>
              <a:lnTo>
                <a:pt x="164" y="300"/>
              </a:lnTo>
              <a:lnTo>
                <a:pt x="163" y="300"/>
              </a:lnTo>
              <a:lnTo>
                <a:pt x="163" y="307"/>
              </a:lnTo>
              <a:lnTo>
                <a:pt x="165" y="312"/>
              </a:lnTo>
              <a:lnTo>
                <a:pt x="170" y="315"/>
              </a:lnTo>
              <a:lnTo>
                <a:pt x="172" y="322"/>
              </a:lnTo>
              <a:lnTo>
                <a:pt x="171" y="327"/>
              </a:lnTo>
              <a:lnTo>
                <a:pt x="174" y="330"/>
              </a:lnTo>
              <a:lnTo>
                <a:pt x="178" y="327"/>
              </a:lnTo>
              <a:lnTo>
                <a:pt x="186" y="334"/>
              </a:lnTo>
              <a:lnTo>
                <a:pt x="190" y="331"/>
              </a:lnTo>
              <a:lnTo>
                <a:pt x="192" y="331"/>
              </a:lnTo>
              <a:lnTo>
                <a:pt x="196" y="335"/>
              </a:lnTo>
              <a:lnTo>
                <a:pt x="199" y="332"/>
              </a:lnTo>
              <a:lnTo>
                <a:pt x="199" y="324"/>
              </a:lnTo>
              <a:lnTo>
                <a:pt x="200" y="319"/>
              </a:lnTo>
              <a:lnTo>
                <a:pt x="205" y="318"/>
              </a:lnTo>
              <a:lnTo>
                <a:pt x="209" y="316"/>
              </a:lnTo>
              <a:lnTo>
                <a:pt x="211" y="315"/>
              </a:lnTo>
              <a:lnTo>
                <a:pt x="212" y="320"/>
              </a:lnTo>
              <a:lnTo>
                <a:pt x="216" y="319"/>
              </a:lnTo>
              <a:lnTo>
                <a:pt x="221" y="320"/>
              </a:lnTo>
              <a:lnTo>
                <a:pt x="220" y="328"/>
              </a:lnTo>
              <a:lnTo>
                <a:pt x="222" y="334"/>
              </a:lnTo>
              <a:lnTo>
                <a:pt x="226" y="332"/>
              </a:lnTo>
              <a:lnTo>
                <a:pt x="230" y="328"/>
              </a:lnTo>
              <a:lnTo>
                <a:pt x="232" y="323"/>
              </a:lnTo>
              <a:lnTo>
                <a:pt x="229" y="318"/>
              </a:lnTo>
              <a:lnTo>
                <a:pt x="233" y="315"/>
              </a:lnTo>
              <a:lnTo>
                <a:pt x="232" y="304"/>
              </a:lnTo>
              <a:lnTo>
                <a:pt x="224" y="299"/>
              </a:lnTo>
              <a:lnTo>
                <a:pt x="223" y="294"/>
              </a:lnTo>
              <a:lnTo>
                <a:pt x="223" y="292"/>
              </a:lnTo>
              <a:lnTo>
                <a:pt x="238" y="300"/>
              </a:lnTo>
              <a:lnTo>
                <a:pt x="242" y="302"/>
              </a:lnTo>
              <a:lnTo>
                <a:pt x="246" y="304"/>
              </a:lnTo>
              <a:lnTo>
                <a:pt x="248" y="307"/>
              </a:lnTo>
              <a:lnTo>
                <a:pt x="245" y="312"/>
              </a:lnTo>
              <a:lnTo>
                <a:pt x="249" y="312"/>
              </a:lnTo>
              <a:lnTo>
                <a:pt x="253" y="311"/>
              </a:lnTo>
              <a:lnTo>
                <a:pt x="256" y="316"/>
              </a:lnTo>
              <a:lnTo>
                <a:pt x="261" y="318"/>
              </a:lnTo>
              <a:lnTo>
                <a:pt x="265" y="316"/>
              </a:lnTo>
              <a:lnTo>
                <a:pt x="266" y="322"/>
              </a:lnTo>
              <a:lnTo>
                <a:pt x="269" y="327"/>
              </a:lnTo>
              <a:lnTo>
                <a:pt x="273" y="328"/>
              </a:lnTo>
              <a:lnTo>
                <a:pt x="273" y="322"/>
              </a:lnTo>
              <a:lnTo>
                <a:pt x="275" y="327"/>
              </a:lnTo>
              <a:lnTo>
                <a:pt x="273" y="332"/>
              </a:lnTo>
              <a:lnTo>
                <a:pt x="269" y="343"/>
              </a:lnTo>
              <a:lnTo>
                <a:pt x="273" y="338"/>
              </a:lnTo>
              <a:lnTo>
                <a:pt x="275" y="334"/>
              </a:lnTo>
              <a:lnTo>
                <a:pt x="278" y="327"/>
              </a:lnTo>
              <a:lnTo>
                <a:pt x="284" y="336"/>
              </a:lnTo>
              <a:lnTo>
                <a:pt x="285" y="331"/>
              </a:lnTo>
              <a:lnTo>
                <a:pt x="287" y="326"/>
              </a:lnTo>
              <a:lnTo>
                <a:pt x="286" y="322"/>
              </a:lnTo>
              <a:lnTo>
                <a:pt x="290" y="320"/>
              </a:lnTo>
              <a:lnTo>
                <a:pt x="290" y="319"/>
              </a:lnTo>
              <a:lnTo>
                <a:pt x="286" y="318"/>
              </a:lnTo>
              <a:lnTo>
                <a:pt x="284" y="312"/>
              </a:lnTo>
              <a:lnTo>
                <a:pt x="280" y="308"/>
              </a:lnTo>
              <a:lnTo>
                <a:pt x="272" y="307"/>
              </a:lnTo>
              <a:lnTo>
                <a:pt x="268" y="304"/>
              </a:lnTo>
              <a:lnTo>
                <a:pt x="263" y="304"/>
              </a:lnTo>
              <a:lnTo>
                <a:pt x="261" y="299"/>
              </a:lnTo>
              <a:lnTo>
                <a:pt x="256" y="296"/>
              </a:lnTo>
              <a:lnTo>
                <a:pt x="251" y="294"/>
              </a:lnTo>
              <a:lnTo>
                <a:pt x="250" y="288"/>
              </a:lnTo>
              <a:lnTo>
                <a:pt x="254" y="286"/>
              </a:lnTo>
              <a:lnTo>
                <a:pt x="253" y="283"/>
              </a:lnTo>
              <a:lnTo>
                <a:pt x="257" y="282"/>
              </a:lnTo>
              <a:lnTo>
                <a:pt x="261" y="284"/>
              </a:lnTo>
              <a:lnTo>
                <a:pt x="258" y="280"/>
              </a:lnTo>
              <a:lnTo>
                <a:pt x="256" y="275"/>
              </a:lnTo>
              <a:lnTo>
                <a:pt x="261" y="270"/>
              </a:lnTo>
              <a:lnTo>
                <a:pt x="265" y="270"/>
              </a:lnTo>
              <a:lnTo>
                <a:pt x="266" y="272"/>
              </a:lnTo>
              <a:lnTo>
                <a:pt x="267" y="266"/>
              </a:lnTo>
              <a:lnTo>
                <a:pt x="267" y="260"/>
              </a:lnTo>
              <a:lnTo>
                <a:pt x="263" y="258"/>
              </a:lnTo>
              <a:lnTo>
                <a:pt x="263" y="252"/>
              </a:lnTo>
              <a:lnTo>
                <a:pt x="262" y="247"/>
              </a:lnTo>
              <a:lnTo>
                <a:pt x="255" y="252"/>
              </a:lnTo>
              <a:lnTo>
                <a:pt x="255" y="258"/>
              </a:lnTo>
              <a:lnTo>
                <a:pt x="253" y="263"/>
              </a:lnTo>
              <a:lnTo>
                <a:pt x="249" y="263"/>
              </a:lnTo>
              <a:lnTo>
                <a:pt x="247" y="258"/>
              </a:lnTo>
              <a:lnTo>
                <a:pt x="243" y="259"/>
              </a:lnTo>
              <a:lnTo>
                <a:pt x="240" y="255"/>
              </a:lnTo>
              <a:lnTo>
                <a:pt x="240" y="254"/>
              </a:lnTo>
              <a:lnTo>
                <a:pt x="249" y="247"/>
              </a:lnTo>
              <a:lnTo>
                <a:pt x="251" y="242"/>
              </a:lnTo>
              <a:lnTo>
                <a:pt x="250" y="240"/>
              </a:lnTo>
              <a:lnTo>
                <a:pt x="245" y="244"/>
              </a:lnTo>
              <a:lnTo>
                <a:pt x="245" y="239"/>
              </a:lnTo>
              <a:lnTo>
                <a:pt x="242" y="244"/>
              </a:lnTo>
              <a:lnTo>
                <a:pt x="238" y="242"/>
              </a:lnTo>
              <a:lnTo>
                <a:pt x="235" y="247"/>
              </a:lnTo>
              <a:lnTo>
                <a:pt x="231" y="248"/>
              </a:lnTo>
              <a:lnTo>
                <a:pt x="219" y="250"/>
              </a:lnTo>
              <a:lnTo>
                <a:pt x="212" y="250"/>
              </a:lnTo>
              <a:lnTo>
                <a:pt x="207" y="247"/>
              </a:lnTo>
              <a:lnTo>
                <a:pt x="207" y="242"/>
              </a:lnTo>
              <a:lnTo>
                <a:pt x="210" y="236"/>
              </a:lnTo>
              <a:lnTo>
                <a:pt x="216" y="224"/>
              </a:lnTo>
              <a:lnTo>
                <a:pt x="220" y="223"/>
              </a:lnTo>
              <a:lnTo>
                <a:pt x="226" y="224"/>
              </a:lnTo>
              <a:lnTo>
                <a:pt x="230" y="228"/>
              </a:lnTo>
              <a:lnTo>
                <a:pt x="234" y="232"/>
              </a:lnTo>
              <a:lnTo>
                <a:pt x="238" y="232"/>
              </a:lnTo>
              <a:lnTo>
                <a:pt x="241" y="235"/>
              </a:lnTo>
              <a:lnTo>
                <a:pt x="242" y="234"/>
              </a:lnTo>
              <a:lnTo>
                <a:pt x="246" y="238"/>
              </a:lnTo>
              <a:lnTo>
                <a:pt x="251" y="239"/>
              </a:lnTo>
              <a:lnTo>
                <a:pt x="252" y="238"/>
              </a:lnTo>
              <a:lnTo>
                <a:pt x="252" y="239"/>
              </a:lnTo>
              <a:lnTo>
                <a:pt x="257" y="236"/>
              </a:lnTo>
              <a:lnTo>
                <a:pt x="255" y="235"/>
              </a:lnTo>
              <a:lnTo>
                <a:pt x="252" y="232"/>
              </a:lnTo>
              <a:lnTo>
                <a:pt x="250" y="227"/>
              </a:lnTo>
              <a:lnTo>
                <a:pt x="250" y="224"/>
              </a:lnTo>
              <a:lnTo>
                <a:pt x="248" y="219"/>
              </a:lnTo>
              <a:lnTo>
                <a:pt x="247" y="212"/>
              </a:lnTo>
              <a:lnTo>
                <a:pt x="241" y="206"/>
              </a:lnTo>
              <a:lnTo>
                <a:pt x="238" y="200"/>
              </a:lnTo>
              <a:lnTo>
                <a:pt x="237" y="195"/>
              </a:lnTo>
              <a:lnTo>
                <a:pt x="238" y="186"/>
              </a:lnTo>
              <a:lnTo>
                <a:pt x="241" y="174"/>
              </a:lnTo>
              <a:lnTo>
                <a:pt x="242" y="168"/>
              </a:lnTo>
              <a:lnTo>
                <a:pt x="241" y="167"/>
              </a:lnTo>
              <a:lnTo>
                <a:pt x="190" y="172"/>
              </a:lnTo>
              <a:lnTo>
                <a:pt x="135" y="176"/>
              </a:lnTo>
              <a:lnTo>
                <a:pt x="139" y="171"/>
              </a:lnTo>
              <a:lnTo>
                <a:pt x="137" y="166"/>
              </a:lnTo>
              <a:lnTo>
                <a:pt x="137" y="160"/>
              </a:lnTo>
              <a:lnTo>
                <a:pt x="135" y="154"/>
              </a:lnTo>
              <a:lnTo>
                <a:pt x="141" y="152"/>
              </a:lnTo>
              <a:lnTo>
                <a:pt x="142" y="148"/>
              </a:lnTo>
              <a:lnTo>
                <a:pt x="138" y="143"/>
              </a:lnTo>
              <a:lnTo>
                <a:pt x="143" y="142"/>
              </a:lnTo>
              <a:lnTo>
                <a:pt x="141" y="131"/>
              </a:lnTo>
              <a:lnTo>
                <a:pt x="145" y="127"/>
              </a:lnTo>
              <a:lnTo>
                <a:pt x="146" y="124"/>
              </a:lnTo>
              <a:lnTo>
                <a:pt x="142" y="124"/>
              </a:lnTo>
              <a:lnTo>
                <a:pt x="146" y="120"/>
              </a:lnTo>
              <a:lnTo>
                <a:pt x="147" y="115"/>
              </a:lnTo>
              <a:lnTo>
                <a:pt x="151" y="110"/>
              </a:lnTo>
              <a:lnTo>
                <a:pt x="148" y="107"/>
              </a:lnTo>
              <a:lnTo>
                <a:pt x="150" y="102"/>
              </a:lnTo>
              <a:lnTo>
                <a:pt x="153" y="100"/>
              </a:lnTo>
              <a:lnTo>
                <a:pt x="163" y="86"/>
              </a:lnTo>
              <a:lnTo>
                <a:pt x="163" y="84"/>
              </a:lnTo>
              <a:lnTo>
                <a:pt x="159" y="83"/>
              </a:lnTo>
              <a:lnTo>
                <a:pt x="163" y="82"/>
              </a:lnTo>
              <a:lnTo>
                <a:pt x="163" y="80"/>
              </a:lnTo>
              <a:lnTo>
                <a:pt x="166" y="74"/>
              </a:lnTo>
              <a:lnTo>
                <a:pt x="162" y="75"/>
              </a:lnTo>
              <a:lnTo>
                <a:pt x="158" y="74"/>
              </a:lnTo>
              <a:lnTo>
                <a:pt x="160" y="68"/>
              </a:lnTo>
              <a:lnTo>
                <a:pt x="165" y="66"/>
              </a:lnTo>
              <a:lnTo>
                <a:pt x="168" y="60"/>
              </a:lnTo>
              <a:lnTo>
                <a:pt x="171" y="60"/>
              </a:lnTo>
              <a:lnTo>
                <a:pt x="171" y="59"/>
              </a:lnTo>
              <a:lnTo>
                <a:pt x="171" y="58"/>
              </a:lnTo>
              <a:lnTo>
                <a:pt x="167" y="56"/>
              </a:lnTo>
              <a:lnTo>
                <a:pt x="165" y="52"/>
              </a:lnTo>
              <a:lnTo>
                <a:pt x="161" y="50"/>
              </a:lnTo>
              <a:lnTo>
                <a:pt x="159" y="44"/>
              </a:lnTo>
              <a:lnTo>
                <a:pt x="160" y="43"/>
              </a:lnTo>
              <a:lnTo>
                <a:pt x="164" y="44"/>
              </a:lnTo>
              <a:lnTo>
                <a:pt x="161" y="39"/>
              </a:lnTo>
              <a:lnTo>
                <a:pt x="164" y="34"/>
              </a:lnTo>
              <a:lnTo>
                <a:pt x="157" y="36"/>
              </a:lnTo>
              <a:lnTo>
                <a:pt x="156" y="32"/>
              </a:lnTo>
              <a:lnTo>
                <a:pt x="161" y="26"/>
              </a:lnTo>
              <a:lnTo>
                <a:pt x="156" y="22"/>
              </a:lnTo>
              <a:lnTo>
                <a:pt x="155" y="16"/>
              </a:lnTo>
              <a:lnTo>
                <a:pt x="159" y="11"/>
              </a:lnTo>
              <a:lnTo>
                <a:pt x="159" y="6"/>
              </a:lnTo>
              <a:lnTo>
                <a:pt x="155" y="6"/>
              </a:lnTo>
              <a:lnTo>
                <a:pt x="151" y="8"/>
              </a:lnTo>
              <a:lnTo>
                <a:pt x="152" y="3"/>
              </a:lnTo>
              <a:lnTo>
                <a:pt x="154" y="0"/>
              </a:lnTo>
              <a:lnTo>
                <a:pt x="66" y="7"/>
              </a:lnTo>
              <a:lnTo>
                <a:pt x="0" y="11"/>
              </a:lnTo>
              <a:lnTo>
                <a:pt x="0" y="11"/>
              </a:lnTo>
              <a:lnTo>
                <a:pt x="0" y="11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lIns="0" anchor="ctr"/>
        <a:lstStyle/>
        <a:p>
          <a:pPr algn="ctr"/>
          <a:fld id="{15EBF0AD-CD92-4FCE-8ACA-BDEACF74AD0E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LA
5556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377136</xdr:colOff>
      <xdr:row>9</xdr:row>
      <xdr:rowOff>139292</xdr:rowOff>
    </xdr:from>
    <xdr:to>
      <xdr:col>8</xdr:col>
      <xdr:colOff>328926</xdr:colOff>
      <xdr:row>13</xdr:row>
      <xdr:rowOff>129535</xdr:rowOff>
    </xdr:to>
    <xdr:sp macro="" textlink="data!E61">
      <xdr:nvSpPr>
        <xdr:cNvPr id="205" name="WI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>
          <a:spLocks/>
        </xdr:cNvSpPr>
      </xdr:nvSpPr>
      <xdr:spPr bwMode="auto">
        <a:xfrm>
          <a:off x="5253936" y="1596617"/>
          <a:ext cx="561390" cy="637943"/>
        </a:xfrm>
        <a:custGeom>
          <a:avLst/>
          <a:gdLst>
            <a:gd name="T0" fmla="*/ 30 w 257"/>
            <a:gd name="T1" fmla="*/ 24 h 383"/>
            <a:gd name="T2" fmla="*/ 26 w 257"/>
            <a:gd name="T3" fmla="*/ 75 h 383"/>
            <a:gd name="T4" fmla="*/ 15 w 257"/>
            <a:gd name="T5" fmla="*/ 91 h 383"/>
            <a:gd name="T6" fmla="*/ 3 w 257"/>
            <a:gd name="T7" fmla="*/ 111 h 383"/>
            <a:gd name="T8" fmla="*/ 3 w 257"/>
            <a:gd name="T9" fmla="*/ 127 h 383"/>
            <a:gd name="T10" fmla="*/ 7 w 257"/>
            <a:gd name="T11" fmla="*/ 153 h 383"/>
            <a:gd name="T12" fmla="*/ 9 w 257"/>
            <a:gd name="T13" fmla="*/ 181 h 383"/>
            <a:gd name="T14" fmla="*/ 13 w 257"/>
            <a:gd name="T15" fmla="*/ 203 h 383"/>
            <a:gd name="T16" fmla="*/ 29 w 257"/>
            <a:gd name="T17" fmla="*/ 212 h 383"/>
            <a:gd name="T18" fmla="*/ 41 w 257"/>
            <a:gd name="T19" fmla="*/ 224 h 383"/>
            <a:gd name="T20" fmla="*/ 60 w 257"/>
            <a:gd name="T21" fmla="*/ 251 h 383"/>
            <a:gd name="T22" fmla="*/ 73 w 257"/>
            <a:gd name="T23" fmla="*/ 259 h 383"/>
            <a:gd name="T24" fmla="*/ 82 w 257"/>
            <a:gd name="T25" fmla="*/ 285 h 383"/>
            <a:gd name="T26" fmla="*/ 84 w 257"/>
            <a:gd name="T27" fmla="*/ 300 h 383"/>
            <a:gd name="T28" fmla="*/ 87 w 257"/>
            <a:gd name="T29" fmla="*/ 312 h 383"/>
            <a:gd name="T30" fmla="*/ 88 w 257"/>
            <a:gd name="T31" fmla="*/ 329 h 383"/>
            <a:gd name="T32" fmla="*/ 93 w 257"/>
            <a:gd name="T33" fmla="*/ 353 h 383"/>
            <a:gd name="T34" fmla="*/ 100 w 257"/>
            <a:gd name="T35" fmla="*/ 368 h 383"/>
            <a:gd name="T36" fmla="*/ 191 w 257"/>
            <a:gd name="T37" fmla="*/ 376 h 383"/>
            <a:gd name="T38" fmla="*/ 249 w 257"/>
            <a:gd name="T39" fmla="*/ 359 h 383"/>
            <a:gd name="T40" fmla="*/ 249 w 257"/>
            <a:gd name="T41" fmla="*/ 341 h 383"/>
            <a:gd name="T42" fmla="*/ 242 w 257"/>
            <a:gd name="T43" fmla="*/ 325 h 383"/>
            <a:gd name="T44" fmla="*/ 241 w 257"/>
            <a:gd name="T45" fmla="*/ 297 h 383"/>
            <a:gd name="T46" fmla="*/ 245 w 257"/>
            <a:gd name="T47" fmla="*/ 275 h 383"/>
            <a:gd name="T48" fmla="*/ 245 w 257"/>
            <a:gd name="T49" fmla="*/ 251 h 383"/>
            <a:gd name="T50" fmla="*/ 249 w 257"/>
            <a:gd name="T51" fmla="*/ 228 h 383"/>
            <a:gd name="T52" fmla="*/ 250 w 257"/>
            <a:gd name="T53" fmla="*/ 211 h 383"/>
            <a:gd name="T54" fmla="*/ 257 w 257"/>
            <a:gd name="T55" fmla="*/ 177 h 383"/>
            <a:gd name="T56" fmla="*/ 252 w 257"/>
            <a:gd name="T57" fmla="*/ 161 h 383"/>
            <a:gd name="T58" fmla="*/ 241 w 257"/>
            <a:gd name="T59" fmla="*/ 173 h 383"/>
            <a:gd name="T60" fmla="*/ 233 w 257"/>
            <a:gd name="T61" fmla="*/ 188 h 383"/>
            <a:gd name="T62" fmla="*/ 227 w 257"/>
            <a:gd name="T63" fmla="*/ 188 h 383"/>
            <a:gd name="T64" fmla="*/ 233 w 257"/>
            <a:gd name="T65" fmla="*/ 164 h 383"/>
            <a:gd name="T66" fmla="*/ 242 w 257"/>
            <a:gd name="T67" fmla="*/ 153 h 383"/>
            <a:gd name="T68" fmla="*/ 241 w 257"/>
            <a:gd name="T69" fmla="*/ 143 h 383"/>
            <a:gd name="T70" fmla="*/ 237 w 257"/>
            <a:gd name="T71" fmla="*/ 133 h 383"/>
            <a:gd name="T72" fmla="*/ 231 w 257"/>
            <a:gd name="T73" fmla="*/ 124 h 383"/>
            <a:gd name="T74" fmla="*/ 231 w 257"/>
            <a:gd name="T75" fmla="*/ 103 h 383"/>
            <a:gd name="T76" fmla="*/ 226 w 257"/>
            <a:gd name="T77" fmla="*/ 91 h 383"/>
            <a:gd name="T78" fmla="*/ 215 w 257"/>
            <a:gd name="T79" fmla="*/ 77 h 383"/>
            <a:gd name="T80" fmla="*/ 196 w 257"/>
            <a:gd name="T81" fmla="*/ 69 h 383"/>
            <a:gd name="T82" fmla="*/ 182 w 257"/>
            <a:gd name="T83" fmla="*/ 71 h 383"/>
            <a:gd name="T84" fmla="*/ 119 w 257"/>
            <a:gd name="T85" fmla="*/ 40 h 383"/>
            <a:gd name="T86" fmla="*/ 109 w 257"/>
            <a:gd name="T87" fmla="*/ 31 h 383"/>
            <a:gd name="T88" fmla="*/ 93 w 257"/>
            <a:gd name="T89" fmla="*/ 27 h 383"/>
            <a:gd name="T90" fmla="*/ 86 w 257"/>
            <a:gd name="T91" fmla="*/ 25 h 383"/>
            <a:gd name="T92" fmla="*/ 90 w 257"/>
            <a:gd name="T93" fmla="*/ 9 h 383"/>
            <a:gd name="T94" fmla="*/ 82 w 257"/>
            <a:gd name="T95" fmla="*/ 3 h 383"/>
            <a:gd name="T96" fmla="*/ 69 w 257"/>
            <a:gd name="T97" fmla="*/ 12 h 383"/>
            <a:gd name="T98" fmla="*/ 40 w 257"/>
            <a:gd name="T99" fmla="*/ 28 h 383"/>
            <a:gd name="T100" fmla="*/ 32 w 257"/>
            <a:gd name="T101" fmla="*/ 21 h 38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257" h="383">
              <a:moveTo>
                <a:pt x="32" y="21"/>
              </a:moveTo>
              <a:lnTo>
                <a:pt x="31" y="24"/>
              </a:lnTo>
              <a:lnTo>
                <a:pt x="30" y="24"/>
              </a:lnTo>
              <a:lnTo>
                <a:pt x="28" y="31"/>
              </a:lnTo>
              <a:lnTo>
                <a:pt x="25" y="31"/>
              </a:lnTo>
              <a:lnTo>
                <a:pt x="26" y="75"/>
              </a:lnTo>
              <a:lnTo>
                <a:pt x="25" y="81"/>
              </a:lnTo>
              <a:lnTo>
                <a:pt x="23" y="85"/>
              </a:lnTo>
              <a:lnTo>
                <a:pt x="15" y="91"/>
              </a:lnTo>
              <a:lnTo>
                <a:pt x="7" y="99"/>
              </a:lnTo>
              <a:lnTo>
                <a:pt x="6" y="104"/>
              </a:lnTo>
              <a:lnTo>
                <a:pt x="3" y="111"/>
              </a:lnTo>
              <a:lnTo>
                <a:pt x="0" y="115"/>
              </a:lnTo>
              <a:lnTo>
                <a:pt x="0" y="121"/>
              </a:lnTo>
              <a:lnTo>
                <a:pt x="3" y="127"/>
              </a:lnTo>
              <a:lnTo>
                <a:pt x="7" y="128"/>
              </a:lnTo>
              <a:lnTo>
                <a:pt x="12" y="139"/>
              </a:lnTo>
              <a:lnTo>
                <a:pt x="7" y="153"/>
              </a:lnTo>
              <a:lnTo>
                <a:pt x="8" y="164"/>
              </a:lnTo>
              <a:lnTo>
                <a:pt x="6" y="169"/>
              </a:lnTo>
              <a:lnTo>
                <a:pt x="9" y="181"/>
              </a:lnTo>
              <a:lnTo>
                <a:pt x="8" y="191"/>
              </a:lnTo>
              <a:lnTo>
                <a:pt x="6" y="196"/>
              </a:lnTo>
              <a:lnTo>
                <a:pt x="13" y="203"/>
              </a:lnTo>
              <a:lnTo>
                <a:pt x="17" y="208"/>
              </a:lnTo>
              <a:lnTo>
                <a:pt x="21" y="211"/>
              </a:lnTo>
              <a:lnTo>
                <a:pt x="29" y="212"/>
              </a:lnTo>
              <a:lnTo>
                <a:pt x="31" y="219"/>
              </a:lnTo>
              <a:lnTo>
                <a:pt x="35" y="221"/>
              </a:lnTo>
              <a:lnTo>
                <a:pt x="41" y="224"/>
              </a:lnTo>
              <a:lnTo>
                <a:pt x="47" y="229"/>
              </a:lnTo>
              <a:lnTo>
                <a:pt x="52" y="241"/>
              </a:lnTo>
              <a:lnTo>
                <a:pt x="60" y="251"/>
              </a:lnTo>
              <a:lnTo>
                <a:pt x="65" y="253"/>
              </a:lnTo>
              <a:lnTo>
                <a:pt x="69" y="255"/>
              </a:lnTo>
              <a:lnTo>
                <a:pt x="73" y="259"/>
              </a:lnTo>
              <a:lnTo>
                <a:pt x="77" y="264"/>
              </a:lnTo>
              <a:lnTo>
                <a:pt x="80" y="271"/>
              </a:lnTo>
              <a:lnTo>
                <a:pt x="82" y="285"/>
              </a:lnTo>
              <a:lnTo>
                <a:pt x="83" y="292"/>
              </a:lnTo>
              <a:lnTo>
                <a:pt x="83" y="293"/>
              </a:lnTo>
              <a:lnTo>
                <a:pt x="84" y="300"/>
              </a:lnTo>
              <a:lnTo>
                <a:pt x="84" y="304"/>
              </a:lnTo>
              <a:lnTo>
                <a:pt x="85" y="305"/>
              </a:lnTo>
              <a:lnTo>
                <a:pt x="87" y="312"/>
              </a:lnTo>
              <a:lnTo>
                <a:pt x="90" y="313"/>
              </a:lnTo>
              <a:lnTo>
                <a:pt x="92" y="319"/>
              </a:lnTo>
              <a:lnTo>
                <a:pt x="88" y="329"/>
              </a:lnTo>
              <a:lnTo>
                <a:pt x="90" y="339"/>
              </a:lnTo>
              <a:lnTo>
                <a:pt x="90" y="348"/>
              </a:lnTo>
              <a:lnTo>
                <a:pt x="93" y="353"/>
              </a:lnTo>
              <a:lnTo>
                <a:pt x="94" y="360"/>
              </a:lnTo>
              <a:lnTo>
                <a:pt x="96" y="365"/>
              </a:lnTo>
              <a:lnTo>
                <a:pt x="100" y="368"/>
              </a:lnTo>
              <a:lnTo>
                <a:pt x="113" y="372"/>
              </a:lnTo>
              <a:lnTo>
                <a:pt x="116" y="383"/>
              </a:lnTo>
              <a:lnTo>
                <a:pt x="191" y="376"/>
              </a:lnTo>
              <a:lnTo>
                <a:pt x="248" y="369"/>
              </a:lnTo>
              <a:lnTo>
                <a:pt x="250" y="369"/>
              </a:lnTo>
              <a:lnTo>
                <a:pt x="249" y="359"/>
              </a:lnTo>
              <a:lnTo>
                <a:pt x="250" y="353"/>
              </a:lnTo>
              <a:lnTo>
                <a:pt x="250" y="347"/>
              </a:lnTo>
              <a:lnTo>
                <a:pt x="249" y="341"/>
              </a:lnTo>
              <a:lnTo>
                <a:pt x="246" y="336"/>
              </a:lnTo>
              <a:lnTo>
                <a:pt x="246" y="331"/>
              </a:lnTo>
              <a:lnTo>
                <a:pt x="242" y="325"/>
              </a:lnTo>
              <a:lnTo>
                <a:pt x="243" y="320"/>
              </a:lnTo>
              <a:lnTo>
                <a:pt x="241" y="308"/>
              </a:lnTo>
              <a:lnTo>
                <a:pt x="241" y="297"/>
              </a:lnTo>
              <a:lnTo>
                <a:pt x="244" y="285"/>
              </a:lnTo>
              <a:lnTo>
                <a:pt x="244" y="280"/>
              </a:lnTo>
              <a:lnTo>
                <a:pt x="245" y="275"/>
              </a:lnTo>
              <a:lnTo>
                <a:pt x="247" y="268"/>
              </a:lnTo>
              <a:lnTo>
                <a:pt x="247" y="263"/>
              </a:lnTo>
              <a:lnTo>
                <a:pt x="245" y="251"/>
              </a:lnTo>
              <a:lnTo>
                <a:pt x="245" y="245"/>
              </a:lnTo>
              <a:lnTo>
                <a:pt x="247" y="235"/>
              </a:lnTo>
              <a:lnTo>
                <a:pt x="249" y="228"/>
              </a:lnTo>
              <a:lnTo>
                <a:pt x="253" y="224"/>
              </a:lnTo>
              <a:lnTo>
                <a:pt x="253" y="221"/>
              </a:lnTo>
              <a:lnTo>
                <a:pt x="250" y="211"/>
              </a:lnTo>
              <a:lnTo>
                <a:pt x="251" y="204"/>
              </a:lnTo>
              <a:lnTo>
                <a:pt x="252" y="193"/>
              </a:lnTo>
              <a:lnTo>
                <a:pt x="257" y="177"/>
              </a:lnTo>
              <a:lnTo>
                <a:pt x="257" y="172"/>
              </a:lnTo>
              <a:lnTo>
                <a:pt x="255" y="167"/>
              </a:lnTo>
              <a:lnTo>
                <a:pt x="252" y="161"/>
              </a:lnTo>
              <a:lnTo>
                <a:pt x="247" y="165"/>
              </a:lnTo>
              <a:lnTo>
                <a:pt x="243" y="168"/>
              </a:lnTo>
              <a:lnTo>
                <a:pt x="241" y="173"/>
              </a:lnTo>
              <a:lnTo>
                <a:pt x="240" y="179"/>
              </a:lnTo>
              <a:lnTo>
                <a:pt x="237" y="184"/>
              </a:lnTo>
              <a:lnTo>
                <a:pt x="233" y="188"/>
              </a:lnTo>
              <a:lnTo>
                <a:pt x="231" y="193"/>
              </a:lnTo>
              <a:lnTo>
                <a:pt x="227" y="193"/>
              </a:lnTo>
              <a:lnTo>
                <a:pt x="227" y="188"/>
              </a:lnTo>
              <a:lnTo>
                <a:pt x="228" y="181"/>
              </a:lnTo>
              <a:lnTo>
                <a:pt x="231" y="169"/>
              </a:lnTo>
              <a:lnTo>
                <a:pt x="233" y="164"/>
              </a:lnTo>
              <a:lnTo>
                <a:pt x="234" y="159"/>
              </a:lnTo>
              <a:lnTo>
                <a:pt x="238" y="156"/>
              </a:lnTo>
              <a:lnTo>
                <a:pt x="242" y="153"/>
              </a:lnTo>
              <a:lnTo>
                <a:pt x="242" y="149"/>
              </a:lnTo>
              <a:lnTo>
                <a:pt x="243" y="144"/>
              </a:lnTo>
              <a:lnTo>
                <a:pt x="241" y="143"/>
              </a:lnTo>
              <a:lnTo>
                <a:pt x="241" y="143"/>
              </a:lnTo>
              <a:lnTo>
                <a:pt x="237" y="139"/>
              </a:lnTo>
              <a:lnTo>
                <a:pt x="237" y="133"/>
              </a:lnTo>
              <a:lnTo>
                <a:pt x="239" y="121"/>
              </a:lnTo>
              <a:lnTo>
                <a:pt x="235" y="123"/>
              </a:lnTo>
              <a:lnTo>
                <a:pt x="231" y="124"/>
              </a:lnTo>
              <a:lnTo>
                <a:pt x="229" y="119"/>
              </a:lnTo>
              <a:lnTo>
                <a:pt x="231" y="113"/>
              </a:lnTo>
              <a:lnTo>
                <a:pt x="231" y="103"/>
              </a:lnTo>
              <a:lnTo>
                <a:pt x="229" y="97"/>
              </a:lnTo>
              <a:lnTo>
                <a:pt x="231" y="96"/>
              </a:lnTo>
              <a:lnTo>
                <a:pt x="226" y="91"/>
              </a:lnTo>
              <a:lnTo>
                <a:pt x="220" y="88"/>
              </a:lnTo>
              <a:lnTo>
                <a:pt x="216" y="87"/>
              </a:lnTo>
              <a:lnTo>
                <a:pt x="215" y="77"/>
              </a:lnTo>
              <a:lnTo>
                <a:pt x="211" y="73"/>
              </a:lnTo>
              <a:lnTo>
                <a:pt x="200" y="72"/>
              </a:lnTo>
              <a:lnTo>
                <a:pt x="196" y="69"/>
              </a:lnTo>
              <a:lnTo>
                <a:pt x="192" y="72"/>
              </a:lnTo>
              <a:lnTo>
                <a:pt x="184" y="69"/>
              </a:lnTo>
              <a:lnTo>
                <a:pt x="182" y="71"/>
              </a:lnTo>
              <a:lnTo>
                <a:pt x="168" y="63"/>
              </a:lnTo>
              <a:lnTo>
                <a:pt x="124" y="51"/>
              </a:lnTo>
              <a:lnTo>
                <a:pt x="119" y="40"/>
              </a:lnTo>
              <a:lnTo>
                <a:pt x="115" y="36"/>
              </a:lnTo>
              <a:lnTo>
                <a:pt x="111" y="33"/>
              </a:lnTo>
              <a:lnTo>
                <a:pt x="109" y="31"/>
              </a:lnTo>
              <a:lnTo>
                <a:pt x="101" y="31"/>
              </a:lnTo>
              <a:lnTo>
                <a:pt x="97" y="28"/>
              </a:lnTo>
              <a:lnTo>
                <a:pt x="93" y="27"/>
              </a:lnTo>
              <a:lnTo>
                <a:pt x="89" y="29"/>
              </a:lnTo>
              <a:lnTo>
                <a:pt x="85" y="29"/>
              </a:lnTo>
              <a:lnTo>
                <a:pt x="86" y="25"/>
              </a:lnTo>
              <a:lnTo>
                <a:pt x="88" y="20"/>
              </a:lnTo>
              <a:lnTo>
                <a:pt x="88" y="15"/>
              </a:lnTo>
              <a:lnTo>
                <a:pt x="90" y="9"/>
              </a:lnTo>
              <a:lnTo>
                <a:pt x="91" y="4"/>
              </a:lnTo>
              <a:lnTo>
                <a:pt x="87" y="0"/>
              </a:lnTo>
              <a:lnTo>
                <a:pt x="82" y="3"/>
              </a:lnTo>
              <a:lnTo>
                <a:pt x="78" y="7"/>
              </a:lnTo>
              <a:lnTo>
                <a:pt x="73" y="11"/>
              </a:lnTo>
              <a:lnTo>
                <a:pt x="69" y="12"/>
              </a:lnTo>
              <a:lnTo>
                <a:pt x="61" y="19"/>
              </a:lnTo>
              <a:lnTo>
                <a:pt x="44" y="27"/>
              </a:lnTo>
              <a:lnTo>
                <a:pt x="40" y="28"/>
              </a:lnTo>
              <a:lnTo>
                <a:pt x="36" y="27"/>
              </a:lnTo>
              <a:lnTo>
                <a:pt x="32" y="21"/>
              </a:lnTo>
              <a:lnTo>
                <a:pt x="32" y="21"/>
              </a:lnTo>
              <a:lnTo>
                <a:pt x="32" y="21"/>
              </a:lnTo>
              <a:close/>
            </a:path>
          </a:pathLst>
        </a:custGeom>
        <a:solidFill>
          <a:srgbClr val="E34A33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979F9FB4-6DD4-44E1-BBD6-9B93C350D2FD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WI
7778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555760</xdr:colOff>
      <xdr:row>13</xdr:row>
      <xdr:rowOff>116776</xdr:rowOff>
    </xdr:from>
    <xdr:to>
      <xdr:col>8</xdr:col>
      <xdr:colOff>392720</xdr:colOff>
      <xdr:row>18</xdr:row>
      <xdr:rowOff>115212</xdr:rowOff>
    </xdr:to>
    <xdr:sp macro="" textlink="data!E25">
      <xdr:nvSpPr>
        <xdr:cNvPr id="206" name="IL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>
          <a:spLocks/>
        </xdr:cNvSpPr>
      </xdr:nvSpPr>
      <xdr:spPr bwMode="auto">
        <a:xfrm>
          <a:off x="5432560" y="2221801"/>
          <a:ext cx="446560" cy="808061"/>
        </a:xfrm>
        <a:custGeom>
          <a:avLst/>
          <a:gdLst>
            <a:gd name="T0" fmla="*/ 0 w 205"/>
            <a:gd name="T1" fmla="*/ 212 h 485"/>
            <a:gd name="T2" fmla="*/ 3 w 205"/>
            <a:gd name="T3" fmla="*/ 237 h 485"/>
            <a:gd name="T4" fmla="*/ 9 w 205"/>
            <a:gd name="T5" fmla="*/ 259 h 485"/>
            <a:gd name="T6" fmla="*/ 23 w 205"/>
            <a:gd name="T7" fmla="*/ 275 h 485"/>
            <a:gd name="T8" fmla="*/ 39 w 205"/>
            <a:gd name="T9" fmla="*/ 292 h 485"/>
            <a:gd name="T10" fmla="*/ 49 w 205"/>
            <a:gd name="T11" fmla="*/ 327 h 485"/>
            <a:gd name="T12" fmla="*/ 58 w 205"/>
            <a:gd name="T13" fmla="*/ 320 h 485"/>
            <a:gd name="T14" fmla="*/ 74 w 205"/>
            <a:gd name="T15" fmla="*/ 329 h 485"/>
            <a:gd name="T16" fmla="*/ 72 w 205"/>
            <a:gd name="T17" fmla="*/ 348 h 485"/>
            <a:gd name="T18" fmla="*/ 64 w 205"/>
            <a:gd name="T19" fmla="*/ 372 h 485"/>
            <a:gd name="T20" fmla="*/ 72 w 205"/>
            <a:gd name="T21" fmla="*/ 393 h 485"/>
            <a:gd name="T22" fmla="*/ 88 w 205"/>
            <a:gd name="T23" fmla="*/ 412 h 485"/>
            <a:gd name="T24" fmla="*/ 102 w 205"/>
            <a:gd name="T25" fmla="*/ 421 h 485"/>
            <a:gd name="T26" fmla="*/ 111 w 205"/>
            <a:gd name="T27" fmla="*/ 439 h 485"/>
            <a:gd name="T28" fmla="*/ 112 w 205"/>
            <a:gd name="T29" fmla="*/ 461 h 485"/>
            <a:gd name="T30" fmla="*/ 128 w 205"/>
            <a:gd name="T31" fmla="*/ 481 h 485"/>
            <a:gd name="T32" fmla="*/ 131 w 205"/>
            <a:gd name="T33" fmla="*/ 476 h 485"/>
            <a:gd name="T34" fmla="*/ 146 w 205"/>
            <a:gd name="T35" fmla="*/ 464 h 485"/>
            <a:gd name="T36" fmla="*/ 161 w 205"/>
            <a:gd name="T37" fmla="*/ 473 h 485"/>
            <a:gd name="T38" fmla="*/ 167 w 205"/>
            <a:gd name="T39" fmla="*/ 463 h 485"/>
            <a:gd name="T40" fmla="*/ 164 w 205"/>
            <a:gd name="T41" fmla="*/ 445 h 485"/>
            <a:gd name="T42" fmla="*/ 181 w 205"/>
            <a:gd name="T43" fmla="*/ 437 h 485"/>
            <a:gd name="T44" fmla="*/ 180 w 205"/>
            <a:gd name="T45" fmla="*/ 420 h 485"/>
            <a:gd name="T46" fmla="*/ 184 w 205"/>
            <a:gd name="T47" fmla="*/ 408 h 485"/>
            <a:gd name="T48" fmla="*/ 184 w 205"/>
            <a:gd name="T49" fmla="*/ 385 h 485"/>
            <a:gd name="T50" fmla="*/ 185 w 205"/>
            <a:gd name="T51" fmla="*/ 373 h 485"/>
            <a:gd name="T52" fmla="*/ 193 w 205"/>
            <a:gd name="T53" fmla="*/ 357 h 485"/>
            <a:gd name="T54" fmla="*/ 203 w 205"/>
            <a:gd name="T55" fmla="*/ 329 h 485"/>
            <a:gd name="T56" fmla="*/ 202 w 205"/>
            <a:gd name="T57" fmla="*/ 311 h 485"/>
            <a:gd name="T58" fmla="*/ 196 w 205"/>
            <a:gd name="T59" fmla="*/ 293 h 485"/>
            <a:gd name="T60" fmla="*/ 196 w 205"/>
            <a:gd name="T61" fmla="*/ 276 h 485"/>
            <a:gd name="T62" fmla="*/ 186 w 205"/>
            <a:gd name="T63" fmla="*/ 66 h 485"/>
            <a:gd name="T64" fmla="*/ 178 w 205"/>
            <a:gd name="T65" fmla="*/ 47 h 485"/>
            <a:gd name="T66" fmla="*/ 168 w 205"/>
            <a:gd name="T67" fmla="*/ 23 h 485"/>
            <a:gd name="T68" fmla="*/ 167 w 205"/>
            <a:gd name="T69" fmla="*/ 0 h 485"/>
            <a:gd name="T70" fmla="*/ 33 w 205"/>
            <a:gd name="T71" fmla="*/ 14 h 485"/>
            <a:gd name="T72" fmla="*/ 44 w 205"/>
            <a:gd name="T73" fmla="*/ 28 h 485"/>
            <a:gd name="T74" fmla="*/ 53 w 205"/>
            <a:gd name="T75" fmla="*/ 42 h 485"/>
            <a:gd name="T76" fmla="*/ 57 w 205"/>
            <a:gd name="T77" fmla="*/ 71 h 485"/>
            <a:gd name="T78" fmla="*/ 47 w 205"/>
            <a:gd name="T79" fmla="*/ 96 h 485"/>
            <a:gd name="T80" fmla="*/ 19 w 205"/>
            <a:gd name="T81" fmla="*/ 109 h 485"/>
            <a:gd name="T82" fmla="*/ 24 w 205"/>
            <a:gd name="T83" fmla="*/ 137 h 485"/>
            <a:gd name="T84" fmla="*/ 18 w 205"/>
            <a:gd name="T85" fmla="*/ 163 h 485"/>
            <a:gd name="T86" fmla="*/ 7 w 205"/>
            <a:gd name="T87" fmla="*/ 181 h 485"/>
            <a:gd name="T88" fmla="*/ 6 w 205"/>
            <a:gd name="T89" fmla="*/ 197 h 485"/>
            <a:gd name="T90" fmla="*/ 3 w 205"/>
            <a:gd name="T91" fmla="*/ 201 h 48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205" h="485">
              <a:moveTo>
                <a:pt x="3" y="201"/>
              </a:moveTo>
              <a:lnTo>
                <a:pt x="1" y="207"/>
              </a:lnTo>
              <a:lnTo>
                <a:pt x="0" y="212"/>
              </a:lnTo>
              <a:lnTo>
                <a:pt x="0" y="223"/>
              </a:lnTo>
              <a:lnTo>
                <a:pt x="2" y="235"/>
              </a:lnTo>
              <a:lnTo>
                <a:pt x="3" y="237"/>
              </a:lnTo>
              <a:lnTo>
                <a:pt x="6" y="248"/>
              </a:lnTo>
              <a:lnTo>
                <a:pt x="8" y="253"/>
              </a:lnTo>
              <a:lnTo>
                <a:pt x="9" y="259"/>
              </a:lnTo>
              <a:lnTo>
                <a:pt x="15" y="264"/>
              </a:lnTo>
              <a:lnTo>
                <a:pt x="19" y="271"/>
              </a:lnTo>
              <a:lnTo>
                <a:pt x="23" y="275"/>
              </a:lnTo>
              <a:lnTo>
                <a:pt x="25" y="280"/>
              </a:lnTo>
              <a:lnTo>
                <a:pt x="35" y="288"/>
              </a:lnTo>
              <a:lnTo>
                <a:pt x="39" y="292"/>
              </a:lnTo>
              <a:lnTo>
                <a:pt x="42" y="297"/>
              </a:lnTo>
              <a:lnTo>
                <a:pt x="46" y="321"/>
              </a:lnTo>
              <a:lnTo>
                <a:pt x="49" y="327"/>
              </a:lnTo>
              <a:lnTo>
                <a:pt x="54" y="325"/>
              </a:lnTo>
              <a:lnTo>
                <a:pt x="56" y="320"/>
              </a:lnTo>
              <a:lnTo>
                <a:pt x="58" y="320"/>
              </a:lnTo>
              <a:lnTo>
                <a:pt x="62" y="321"/>
              </a:lnTo>
              <a:lnTo>
                <a:pt x="66" y="323"/>
              </a:lnTo>
              <a:lnTo>
                <a:pt x="74" y="329"/>
              </a:lnTo>
              <a:lnTo>
                <a:pt x="74" y="332"/>
              </a:lnTo>
              <a:lnTo>
                <a:pt x="71" y="339"/>
              </a:lnTo>
              <a:lnTo>
                <a:pt x="72" y="348"/>
              </a:lnTo>
              <a:lnTo>
                <a:pt x="69" y="356"/>
              </a:lnTo>
              <a:lnTo>
                <a:pt x="67" y="367"/>
              </a:lnTo>
              <a:lnTo>
                <a:pt x="64" y="372"/>
              </a:lnTo>
              <a:lnTo>
                <a:pt x="64" y="377"/>
              </a:lnTo>
              <a:lnTo>
                <a:pt x="65" y="383"/>
              </a:lnTo>
              <a:lnTo>
                <a:pt x="72" y="393"/>
              </a:lnTo>
              <a:lnTo>
                <a:pt x="85" y="405"/>
              </a:lnTo>
              <a:lnTo>
                <a:pt x="87" y="405"/>
              </a:lnTo>
              <a:lnTo>
                <a:pt x="88" y="412"/>
              </a:lnTo>
              <a:lnTo>
                <a:pt x="92" y="409"/>
              </a:lnTo>
              <a:lnTo>
                <a:pt x="99" y="415"/>
              </a:lnTo>
              <a:lnTo>
                <a:pt x="102" y="421"/>
              </a:lnTo>
              <a:lnTo>
                <a:pt x="106" y="424"/>
              </a:lnTo>
              <a:lnTo>
                <a:pt x="110" y="427"/>
              </a:lnTo>
              <a:lnTo>
                <a:pt x="111" y="439"/>
              </a:lnTo>
              <a:lnTo>
                <a:pt x="116" y="449"/>
              </a:lnTo>
              <a:lnTo>
                <a:pt x="115" y="456"/>
              </a:lnTo>
              <a:lnTo>
                <a:pt x="112" y="461"/>
              </a:lnTo>
              <a:lnTo>
                <a:pt x="117" y="472"/>
              </a:lnTo>
              <a:lnTo>
                <a:pt x="124" y="484"/>
              </a:lnTo>
              <a:lnTo>
                <a:pt x="128" y="481"/>
              </a:lnTo>
              <a:lnTo>
                <a:pt x="134" y="485"/>
              </a:lnTo>
              <a:lnTo>
                <a:pt x="131" y="481"/>
              </a:lnTo>
              <a:lnTo>
                <a:pt x="131" y="476"/>
              </a:lnTo>
              <a:lnTo>
                <a:pt x="137" y="465"/>
              </a:lnTo>
              <a:lnTo>
                <a:pt x="141" y="464"/>
              </a:lnTo>
              <a:lnTo>
                <a:pt x="146" y="464"/>
              </a:lnTo>
              <a:lnTo>
                <a:pt x="150" y="467"/>
              </a:lnTo>
              <a:lnTo>
                <a:pt x="158" y="471"/>
              </a:lnTo>
              <a:lnTo>
                <a:pt x="161" y="473"/>
              </a:lnTo>
              <a:lnTo>
                <a:pt x="165" y="475"/>
              </a:lnTo>
              <a:lnTo>
                <a:pt x="168" y="468"/>
              </a:lnTo>
              <a:lnTo>
                <a:pt x="167" y="463"/>
              </a:lnTo>
              <a:lnTo>
                <a:pt x="164" y="457"/>
              </a:lnTo>
              <a:lnTo>
                <a:pt x="163" y="451"/>
              </a:lnTo>
              <a:lnTo>
                <a:pt x="164" y="445"/>
              </a:lnTo>
              <a:lnTo>
                <a:pt x="168" y="444"/>
              </a:lnTo>
              <a:lnTo>
                <a:pt x="173" y="440"/>
              </a:lnTo>
              <a:lnTo>
                <a:pt x="181" y="437"/>
              </a:lnTo>
              <a:lnTo>
                <a:pt x="184" y="432"/>
              </a:lnTo>
              <a:lnTo>
                <a:pt x="180" y="427"/>
              </a:lnTo>
              <a:lnTo>
                <a:pt x="180" y="420"/>
              </a:lnTo>
              <a:lnTo>
                <a:pt x="182" y="415"/>
              </a:lnTo>
              <a:lnTo>
                <a:pt x="184" y="409"/>
              </a:lnTo>
              <a:lnTo>
                <a:pt x="184" y="408"/>
              </a:lnTo>
              <a:lnTo>
                <a:pt x="181" y="401"/>
              </a:lnTo>
              <a:lnTo>
                <a:pt x="183" y="396"/>
              </a:lnTo>
              <a:lnTo>
                <a:pt x="184" y="385"/>
              </a:lnTo>
              <a:lnTo>
                <a:pt x="184" y="385"/>
              </a:lnTo>
              <a:lnTo>
                <a:pt x="186" y="375"/>
              </a:lnTo>
              <a:lnTo>
                <a:pt x="185" y="373"/>
              </a:lnTo>
              <a:lnTo>
                <a:pt x="186" y="367"/>
              </a:lnTo>
              <a:lnTo>
                <a:pt x="189" y="363"/>
              </a:lnTo>
              <a:lnTo>
                <a:pt x="193" y="357"/>
              </a:lnTo>
              <a:lnTo>
                <a:pt x="198" y="345"/>
              </a:lnTo>
              <a:lnTo>
                <a:pt x="198" y="340"/>
              </a:lnTo>
              <a:lnTo>
                <a:pt x="203" y="329"/>
              </a:lnTo>
              <a:lnTo>
                <a:pt x="204" y="328"/>
              </a:lnTo>
              <a:lnTo>
                <a:pt x="205" y="321"/>
              </a:lnTo>
              <a:lnTo>
                <a:pt x="202" y="311"/>
              </a:lnTo>
              <a:lnTo>
                <a:pt x="203" y="305"/>
              </a:lnTo>
              <a:lnTo>
                <a:pt x="199" y="300"/>
              </a:lnTo>
              <a:lnTo>
                <a:pt x="196" y="293"/>
              </a:lnTo>
              <a:lnTo>
                <a:pt x="195" y="287"/>
              </a:lnTo>
              <a:lnTo>
                <a:pt x="198" y="281"/>
              </a:lnTo>
              <a:lnTo>
                <a:pt x="196" y="276"/>
              </a:lnTo>
              <a:lnTo>
                <a:pt x="200" y="269"/>
              </a:lnTo>
              <a:lnTo>
                <a:pt x="186" y="68"/>
              </a:lnTo>
              <a:lnTo>
                <a:pt x="186" y="66"/>
              </a:lnTo>
              <a:lnTo>
                <a:pt x="181" y="58"/>
              </a:lnTo>
              <a:lnTo>
                <a:pt x="180" y="52"/>
              </a:lnTo>
              <a:lnTo>
                <a:pt x="178" y="47"/>
              </a:lnTo>
              <a:lnTo>
                <a:pt x="176" y="38"/>
              </a:lnTo>
              <a:lnTo>
                <a:pt x="172" y="34"/>
              </a:lnTo>
              <a:lnTo>
                <a:pt x="168" y="23"/>
              </a:lnTo>
              <a:lnTo>
                <a:pt x="167" y="18"/>
              </a:lnTo>
              <a:lnTo>
                <a:pt x="168" y="6"/>
              </a:lnTo>
              <a:lnTo>
                <a:pt x="167" y="0"/>
              </a:lnTo>
              <a:lnTo>
                <a:pt x="165" y="0"/>
              </a:lnTo>
              <a:lnTo>
                <a:pt x="108" y="7"/>
              </a:lnTo>
              <a:lnTo>
                <a:pt x="33" y="14"/>
              </a:lnTo>
              <a:lnTo>
                <a:pt x="32" y="15"/>
              </a:lnTo>
              <a:lnTo>
                <a:pt x="36" y="19"/>
              </a:lnTo>
              <a:lnTo>
                <a:pt x="44" y="28"/>
              </a:lnTo>
              <a:lnTo>
                <a:pt x="45" y="35"/>
              </a:lnTo>
              <a:lnTo>
                <a:pt x="49" y="39"/>
              </a:lnTo>
              <a:lnTo>
                <a:pt x="53" y="42"/>
              </a:lnTo>
              <a:lnTo>
                <a:pt x="57" y="47"/>
              </a:lnTo>
              <a:lnTo>
                <a:pt x="59" y="54"/>
              </a:lnTo>
              <a:lnTo>
                <a:pt x="57" y="71"/>
              </a:lnTo>
              <a:lnTo>
                <a:pt x="52" y="80"/>
              </a:lnTo>
              <a:lnTo>
                <a:pt x="51" y="92"/>
              </a:lnTo>
              <a:lnTo>
                <a:pt x="47" y="96"/>
              </a:lnTo>
              <a:lnTo>
                <a:pt x="38" y="101"/>
              </a:lnTo>
              <a:lnTo>
                <a:pt x="34" y="105"/>
              </a:lnTo>
              <a:lnTo>
                <a:pt x="19" y="109"/>
              </a:lnTo>
              <a:lnTo>
                <a:pt x="17" y="115"/>
              </a:lnTo>
              <a:lnTo>
                <a:pt x="16" y="127"/>
              </a:lnTo>
              <a:lnTo>
                <a:pt x="24" y="137"/>
              </a:lnTo>
              <a:lnTo>
                <a:pt x="24" y="149"/>
              </a:lnTo>
              <a:lnTo>
                <a:pt x="18" y="160"/>
              </a:lnTo>
              <a:lnTo>
                <a:pt x="18" y="163"/>
              </a:lnTo>
              <a:lnTo>
                <a:pt x="18" y="169"/>
              </a:lnTo>
              <a:lnTo>
                <a:pt x="16" y="175"/>
              </a:lnTo>
              <a:lnTo>
                <a:pt x="7" y="181"/>
              </a:lnTo>
              <a:lnTo>
                <a:pt x="3" y="187"/>
              </a:lnTo>
              <a:lnTo>
                <a:pt x="6" y="192"/>
              </a:lnTo>
              <a:lnTo>
                <a:pt x="6" y="197"/>
              </a:lnTo>
              <a:lnTo>
                <a:pt x="3" y="201"/>
              </a:lnTo>
              <a:lnTo>
                <a:pt x="3" y="201"/>
              </a:lnTo>
              <a:lnTo>
                <a:pt x="3" y="201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079FCA0D-9452-4F38-BE3D-DB1C6F795CEC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IL
6376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624996</xdr:colOff>
      <xdr:row>20</xdr:row>
      <xdr:rowOff>58109</xdr:rowOff>
    </xdr:from>
    <xdr:to>
      <xdr:col>8</xdr:col>
      <xdr:colOff>367378</xdr:colOff>
      <xdr:row>24</xdr:row>
      <xdr:rowOff>124905</xdr:rowOff>
    </xdr:to>
    <xdr:sp macro="" textlink="data!E12">
      <xdr:nvSpPr>
        <xdr:cNvPr id="207" name="AL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>
          <a:spLocks/>
        </xdr:cNvSpPr>
      </xdr:nvSpPr>
      <xdr:spPr bwMode="auto">
        <a:xfrm>
          <a:off x="5196996" y="3214966"/>
          <a:ext cx="395525" cy="698168"/>
        </a:xfrm>
        <a:custGeom>
          <a:avLst/>
          <a:gdLst>
            <a:gd name="T0" fmla="*/ 16 w 183"/>
            <a:gd name="T1" fmla="*/ 196 h 424"/>
            <a:gd name="T2" fmla="*/ 24 w 183"/>
            <a:gd name="T3" fmla="*/ 199 h 424"/>
            <a:gd name="T4" fmla="*/ 26 w 183"/>
            <a:gd name="T5" fmla="*/ 214 h 424"/>
            <a:gd name="T6" fmla="*/ 29 w 183"/>
            <a:gd name="T7" fmla="*/ 222 h 424"/>
            <a:gd name="T8" fmla="*/ 25 w 183"/>
            <a:gd name="T9" fmla="*/ 231 h 424"/>
            <a:gd name="T10" fmla="*/ 30 w 183"/>
            <a:gd name="T11" fmla="*/ 240 h 424"/>
            <a:gd name="T12" fmla="*/ 36 w 183"/>
            <a:gd name="T13" fmla="*/ 247 h 424"/>
            <a:gd name="T14" fmla="*/ 30 w 183"/>
            <a:gd name="T15" fmla="*/ 254 h 424"/>
            <a:gd name="T16" fmla="*/ 27 w 183"/>
            <a:gd name="T17" fmla="*/ 263 h 424"/>
            <a:gd name="T18" fmla="*/ 28 w 183"/>
            <a:gd name="T19" fmla="*/ 270 h 424"/>
            <a:gd name="T20" fmla="*/ 28 w 183"/>
            <a:gd name="T21" fmla="*/ 274 h 424"/>
            <a:gd name="T22" fmla="*/ 13 w 183"/>
            <a:gd name="T23" fmla="*/ 295 h 424"/>
            <a:gd name="T24" fmla="*/ 11 w 183"/>
            <a:gd name="T25" fmla="*/ 308 h 424"/>
            <a:gd name="T26" fmla="*/ 10 w 183"/>
            <a:gd name="T27" fmla="*/ 315 h 424"/>
            <a:gd name="T28" fmla="*/ 3 w 183"/>
            <a:gd name="T29" fmla="*/ 331 h 424"/>
            <a:gd name="T30" fmla="*/ 0 w 183"/>
            <a:gd name="T31" fmla="*/ 342 h 424"/>
            <a:gd name="T32" fmla="*/ 4 w 183"/>
            <a:gd name="T33" fmla="*/ 359 h 424"/>
            <a:gd name="T34" fmla="*/ 106 w 183"/>
            <a:gd name="T35" fmla="*/ 355 h 424"/>
            <a:gd name="T36" fmla="*/ 103 w 183"/>
            <a:gd name="T37" fmla="*/ 374 h 424"/>
            <a:gd name="T38" fmla="*/ 106 w 183"/>
            <a:gd name="T39" fmla="*/ 394 h 424"/>
            <a:gd name="T40" fmla="*/ 115 w 183"/>
            <a:gd name="T41" fmla="*/ 412 h 424"/>
            <a:gd name="T42" fmla="*/ 120 w 183"/>
            <a:gd name="T43" fmla="*/ 423 h 424"/>
            <a:gd name="T44" fmla="*/ 128 w 183"/>
            <a:gd name="T45" fmla="*/ 419 h 424"/>
            <a:gd name="T46" fmla="*/ 132 w 183"/>
            <a:gd name="T47" fmla="*/ 411 h 424"/>
            <a:gd name="T48" fmla="*/ 139 w 183"/>
            <a:gd name="T49" fmla="*/ 410 h 424"/>
            <a:gd name="T50" fmla="*/ 158 w 183"/>
            <a:gd name="T51" fmla="*/ 402 h 424"/>
            <a:gd name="T52" fmla="*/ 163 w 183"/>
            <a:gd name="T53" fmla="*/ 404 h 424"/>
            <a:gd name="T54" fmla="*/ 172 w 183"/>
            <a:gd name="T55" fmla="*/ 402 h 424"/>
            <a:gd name="T56" fmla="*/ 183 w 183"/>
            <a:gd name="T57" fmla="*/ 398 h 424"/>
            <a:gd name="T58" fmla="*/ 169 w 183"/>
            <a:gd name="T59" fmla="*/ 4 h 424"/>
            <a:gd name="T60" fmla="*/ 128 w 183"/>
            <a:gd name="T61" fmla="*/ 6 h 424"/>
            <a:gd name="T62" fmla="*/ 59 w 183"/>
            <a:gd name="T63" fmla="*/ 20 h 424"/>
            <a:gd name="T64" fmla="*/ 48 w 183"/>
            <a:gd name="T65" fmla="*/ 24 h 424"/>
            <a:gd name="T66" fmla="*/ 45 w 183"/>
            <a:gd name="T67" fmla="*/ 31 h 424"/>
            <a:gd name="T68" fmla="*/ 45 w 183"/>
            <a:gd name="T69" fmla="*/ 44 h 424"/>
            <a:gd name="T70" fmla="*/ 46 w 183"/>
            <a:gd name="T71" fmla="*/ 51 h 424"/>
            <a:gd name="T72" fmla="*/ 42 w 183"/>
            <a:gd name="T73" fmla="*/ 67 h 424"/>
            <a:gd name="T74" fmla="*/ 36 w 183"/>
            <a:gd name="T75" fmla="*/ 75 h 424"/>
            <a:gd name="T76" fmla="*/ 27 w 183"/>
            <a:gd name="T77" fmla="*/ 82 h 424"/>
            <a:gd name="T78" fmla="*/ 28 w 183"/>
            <a:gd name="T79" fmla="*/ 92 h 424"/>
            <a:gd name="T80" fmla="*/ 22 w 183"/>
            <a:gd name="T81" fmla="*/ 107 h 424"/>
            <a:gd name="T82" fmla="*/ 22 w 183"/>
            <a:gd name="T83" fmla="*/ 120 h 424"/>
            <a:gd name="T84" fmla="*/ 22 w 183"/>
            <a:gd name="T85" fmla="*/ 127 h 424"/>
            <a:gd name="T86" fmla="*/ 14 w 183"/>
            <a:gd name="T87" fmla="*/ 130 h 424"/>
            <a:gd name="T88" fmla="*/ 16 w 183"/>
            <a:gd name="T89" fmla="*/ 144 h 424"/>
            <a:gd name="T90" fmla="*/ 20 w 183"/>
            <a:gd name="T91" fmla="*/ 150 h 424"/>
            <a:gd name="T92" fmla="*/ 20 w 183"/>
            <a:gd name="T93" fmla="*/ 154 h 424"/>
            <a:gd name="T94" fmla="*/ 22 w 183"/>
            <a:gd name="T95" fmla="*/ 167 h 424"/>
            <a:gd name="T96" fmla="*/ 18 w 183"/>
            <a:gd name="T97" fmla="*/ 176 h 424"/>
            <a:gd name="T98" fmla="*/ 19 w 183"/>
            <a:gd name="T99" fmla="*/ 188 h 4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</a:cxnLst>
          <a:rect l="0" t="0" r="r" b="b"/>
          <a:pathLst>
            <a:path w="183" h="424">
              <a:moveTo>
                <a:pt x="19" y="188"/>
              </a:moveTo>
              <a:lnTo>
                <a:pt x="17" y="191"/>
              </a:lnTo>
              <a:lnTo>
                <a:pt x="16" y="196"/>
              </a:lnTo>
              <a:lnTo>
                <a:pt x="20" y="194"/>
              </a:lnTo>
              <a:lnTo>
                <a:pt x="24" y="194"/>
              </a:lnTo>
              <a:lnTo>
                <a:pt x="24" y="199"/>
              </a:lnTo>
              <a:lnTo>
                <a:pt x="20" y="204"/>
              </a:lnTo>
              <a:lnTo>
                <a:pt x="21" y="210"/>
              </a:lnTo>
              <a:lnTo>
                <a:pt x="26" y="214"/>
              </a:lnTo>
              <a:lnTo>
                <a:pt x="21" y="220"/>
              </a:lnTo>
              <a:lnTo>
                <a:pt x="22" y="224"/>
              </a:lnTo>
              <a:lnTo>
                <a:pt x="29" y="222"/>
              </a:lnTo>
              <a:lnTo>
                <a:pt x="26" y="227"/>
              </a:lnTo>
              <a:lnTo>
                <a:pt x="29" y="232"/>
              </a:lnTo>
              <a:lnTo>
                <a:pt x="25" y="231"/>
              </a:lnTo>
              <a:lnTo>
                <a:pt x="24" y="232"/>
              </a:lnTo>
              <a:lnTo>
                <a:pt x="26" y="238"/>
              </a:lnTo>
              <a:lnTo>
                <a:pt x="30" y="240"/>
              </a:lnTo>
              <a:lnTo>
                <a:pt x="32" y="244"/>
              </a:lnTo>
              <a:lnTo>
                <a:pt x="36" y="246"/>
              </a:lnTo>
              <a:lnTo>
                <a:pt x="36" y="247"/>
              </a:lnTo>
              <a:lnTo>
                <a:pt x="36" y="248"/>
              </a:lnTo>
              <a:lnTo>
                <a:pt x="33" y="248"/>
              </a:lnTo>
              <a:lnTo>
                <a:pt x="30" y="254"/>
              </a:lnTo>
              <a:lnTo>
                <a:pt x="25" y="256"/>
              </a:lnTo>
              <a:lnTo>
                <a:pt x="23" y="262"/>
              </a:lnTo>
              <a:lnTo>
                <a:pt x="27" y="263"/>
              </a:lnTo>
              <a:lnTo>
                <a:pt x="31" y="262"/>
              </a:lnTo>
              <a:lnTo>
                <a:pt x="28" y="268"/>
              </a:lnTo>
              <a:lnTo>
                <a:pt x="28" y="270"/>
              </a:lnTo>
              <a:lnTo>
                <a:pt x="24" y="271"/>
              </a:lnTo>
              <a:lnTo>
                <a:pt x="28" y="272"/>
              </a:lnTo>
              <a:lnTo>
                <a:pt x="28" y="274"/>
              </a:lnTo>
              <a:lnTo>
                <a:pt x="18" y="288"/>
              </a:lnTo>
              <a:lnTo>
                <a:pt x="15" y="290"/>
              </a:lnTo>
              <a:lnTo>
                <a:pt x="13" y="295"/>
              </a:lnTo>
              <a:lnTo>
                <a:pt x="16" y="298"/>
              </a:lnTo>
              <a:lnTo>
                <a:pt x="12" y="303"/>
              </a:lnTo>
              <a:lnTo>
                <a:pt x="11" y="308"/>
              </a:lnTo>
              <a:lnTo>
                <a:pt x="7" y="312"/>
              </a:lnTo>
              <a:lnTo>
                <a:pt x="11" y="312"/>
              </a:lnTo>
              <a:lnTo>
                <a:pt x="10" y="315"/>
              </a:lnTo>
              <a:lnTo>
                <a:pt x="6" y="319"/>
              </a:lnTo>
              <a:lnTo>
                <a:pt x="8" y="330"/>
              </a:lnTo>
              <a:lnTo>
                <a:pt x="3" y="331"/>
              </a:lnTo>
              <a:lnTo>
                <a:pt x="7" y="336"/>
              </a:lnTo>
              <a:lnTo>
                <a:pt x="6" y="340"/>
              </a:lnTo>
              <a:lnTo>
                <a:pt x="0" y="342"/>
              </a:lnTo>
              <a:lnTo>
                <a:pt x="2" y="348"/>
              </a:lnTo>
              <a:lnTo>
                <a:pt x="2" y="354"/>
              </a:lnTo>
              <a:lnTo>
                <a:pt x="4" y="359"/>
              </a:lnTo>
              <a:lnTo>
                <a:pt x="0" y="364"/>
              </a:lnTo>
              <a:lnTo>
                <a:pt x="55" y="360"/>
              </a:lnTo>
              <a:lnTo>
                <a:pt x="106" y="355"/>
              </a:lnTo>
              <a:lnTo>
                <a:pt x="107" y="356"/>
              </a:lnTo>
              <a:lnTo>
                <a:pt x="106" y="362"/>
              </a:lnTo>
              <a:lnTo>
                <a:pt x="103" y="374"/>
              </a:lnTo>
              <a:lnTo>
                <a:pt x="102" y="383"/>
              </a:lnTo>
              <a:lnTo>
                <a:pt x="103" y="388"/>
              </a:lnTo>
              <a:lnTo>
                <a:pt x="106" y="394"/>
              </a:lnTo>
              <a:lnTo>
                <a:pt x="112" y="400"/>
              </a:lnTo>
              <a:lnTo>
                <a:pt x="113" y="407"/>
              </a:lnTo>
              <a:lnTo>
                <a:pt x="115" y="412"/>
              </a:lnTo>
              <a:lnTo>
                <a:pt x="115" y="415"/>
              </a:lnTo>
              <a:lnTo>
                <a:pt x="117" y="420"/>
              </a:lnTo>
              <a:lnTo>
                <a:pt x="120" y="423"/>
              </a:lnTo>
              <a:lnTo>
                <a:pt x="122" y="424"/>
              </a:lnTo>
              <a:lnTo>
                <a:pt x="126" y="424"/>
              </a:lnTo>
              <a:lnTo>
                <a:pt x="128" y="419"/>
              </a:lnTo>
              <a:lnTo>
                <a:pt x="132" y="414"/>
              </a:lnTo>
              <a:lnTo>
                <a:pt x="133" y="411"/>
              </a:lnTo>
              <a:lnTo>
                <a:pt x="132" y="411"/>
              </a:lnTo>
              <a:lnTo>
                <a:pt x="136" y="410"/>
              </a:lnTo>
              <a:lnTo>
                <a:pt x="135" y="411"/>
              </a:lnTo>
              <a:lnTo>
                <a:pt x="139" y="410"/>
              </a:lnTo>
              <a:lnTo>
                <a:pt x="148" y="406"/>
              </a:lnTo>
              <a:lnTo>
                <a:pt x="156" y="403"/>
              </a:lnTo>
              <a:lnTo>
                <a:pt x="158" y="402"/>
              </a:lnTo>
              <a:lnTo>
                <a:pt x="152" y="400"/>
              </a:lnTo>
              <a:lnTo>
                <a:pt x="159" y="400"/>
              </a:lnTo>
              <a:lnTo>
                <a:pt x="163" y="404"/>
              </a:lnTo>
              <a:lnTo>
                <a:pt x="167" y="406"/>
              </a:lnTo>
              <a:lnTo>
                <a:pt x="171" y="403"/>
              </a:lnTo>
              <a:lnTo>
                <a:pt x="172" y="402"/>
              </a:lnTo>
              <a:lnTo>
                <a:pt x="181" y="406"/>
              </a:lnTo>
              <a:lnTo>
                <a:pt x="183" y="400"/>
              </a:lnTo>
              <a:lnTo>
                <a:pt x="183" y="398"/>
              </a:lnTo>
              <a:lnTo>
                <a:pt x="170" y="270"/>
              </a:lnTo>
              <a:lnTo>
                <a:pt x="173" y="8"/>
              </a:lnTo>
              <a:lnTo>
                <a:pt x="169" y="4"/>
              </a:lnTo>
              <a:lnTo>
                <a:pt x="167" y="2"/>
              </a:lnTo>
              <a:lnTo>
                <a:pt x="167" y="0"/>
              </a:lnTo>
              <a:lnTo>
                <a:pt x="128" y="6"/>
              </a:lnTo>
              <a:lnTo>
                <a:pt x="56" y="12"/>
              </a:lnTo>
              <a:lnTo>
                <a:pt x="58" y="15"/>
              </a:lnTo>
              <a:lnTo>
                <a:pt x="59" y="20"/>
              </a:lnTo>
              <a:lnTo>
                <a:pt x="55" y="26"/>
              </a:lnTo>
              <a:lnTo>
                <a:pt x="50" y="28"/>
              </a:lnTo>
              <a:lnTo>
                <a:pt x="48" y="24"/>
              </a:lnTo>
              <a:lnTo>
                <a:pt x="49" y="36"/>
              </a:lnTo>
              <a:lnTo>
                <a:pt x="46" y="36"/>
              </a:lnTo>
              <a:lnTo>
                <a:pt x="45" y="31"/>
              </a:lnTo>
              <a:lnTo>
                <a:pt x="45" y="39"/>
              </a:lnTo>
              <a:lnTo>
                <a:pt x="49" y="42"/>
              </a:lnTo>
              <a:lnTo>
                <a:pt x="45" y="44"/>
              </a:lnTo>
              <a:lnTo>
                <a:pt x="44" y="39"/>
              </a:lnTo>
              <a:lnTo>
                <a:pt x="43" y="48"/>
              </a:lnTo>
              <a:lnTo>
                <a:pt x="46" y="51"/>
              </a:lnTo>
              <a:lnTo>
                <a:pt x="44" y="58"/>
              </a:lnTo>
              <a:lnTo>
                <a:pt x="45" y="62"/>
              </a:lnTo>
              <a:lnTo>
                <a:pt x="42" y="67"/>
              </a:lnTo>
              <a:lnTo>
                <a:pt x="39" y="70"/>
              </a:lnTo>
              <a:lnTo>
                <a:pt x="35" y="70"/>
              </a:lnTo>
              <a:lnTo>
                <a:pt x="36" y="75"/>
              </a:lnTo>
              <a:lnTo>
                <a:pt x="32" y="80"/>
              </a:lnTo>
              <a:lnTo>
                <a:pt x="31" y="83"/>
              </a:lnTo>
              <a:lnTo>
                <a:pt x="27" y="82"/>
              </a:lnTo>
              <a:lnTo>
                <a:pt x="30" y="86"/>
              </a:lnTo>
              <a:lnTo>
                <a:pt x="28" y="87"/>
              </a:lnTo>
              <a:lnTo>
                <a:pt x="28" y="92"/>
              </a:lnTo>
              <a:lnTo>
                <a:pt x="30" y="98"/>
              </a:lnTo>
              <a:lnTo>
                <a:pt x="20" y="104"/>
              </a:lnTo>
              <a:lnTo>
                <a:pt x="22" y="107"/>
              </a:lnTo>
              <a:lnTo>
                <a:pt x="22" y="112"/>
              </a:lnTo>
              <a:lnTo>
                <a:pt x="22" y="118"/>
              </a:lnTo>
              <a:lnTo>
                <a:pt x="22" y="120"/>
              </a:lnTo>
              <a:lnTo>
                <a:pt x="17" y="120"/>
              </a:lnTo>
              <a:lnTo>
                <a:pt x="17" y="126"/>
              </a:lnTo>
              <a:lnTo>
                <a:pt x="22" y="127"/>
              </a:lnTo>
              <a:lnTo>
                <a:pt x="18" y="130"/>
              </a:lnTo>
              <a:lnTo>
                <a:pt x="16" y="128"/>
              </a:lnTo>
              <a:lnTo>
                <a:pt x="14" y="130"/>
              </a:lnTo>
              <a:lnTo>
                <a:pt x="17" y="136"/>
              </a:lnTo>
              <a:lnTo>
                <a:pt x="13" y="139"/>
              </a:lnTo>
              <a:lnTo>
                <a:pt x="16" y="144"/>
              </a:lnTo>
              <a:lnTo>
                <a:pt x="13" y="151"/>
              </a:lnTo>
              <a:lnTo>
                <a:pt x="17" y="146"/>
              </a:lnTo>
              <a:lnTo>
                <a:pt x="20" y="150"/>
              </a:lnTo>
              <a:lnTo>
                <a:pt x="16" y="154"/>
              </a:lnTo>
              <a:lnTo>
                <a:pt x="20" y="155"/>
              </a:lnTo>
              <a:lnTo>
                <a:pt x="20" y="154"/>
              </a:lnTo>
              <a:lnTo>
                <a:pt x="19" y="159"/>
              </a:lnTo>
              <a:lnTo>
                <a:pt x="20" y="166"/>
              </a:lnTo>
              <a:lnTo>
                <a:pt x="22" y="167"/>
              </a:lnTo>
              <a:lnTo>
                <a:pt x="23" y="175"/>
              </a:lnTo>
              <a:lnTo>
                <a:pt x="22" y="176"/>
              </a:lnTo>
              <a:lnTo>
                <a:pt x="18" y="176"/>
              </a:lnTo>
              <a:lnTo>
                <a:pt x="19" y="182"/>
              </a:lnTo>
              <a:lnTo>
                <a:pt x="19" y="188"/>
              </a:lnTo>
              <a:lnTo>
                <a:pt x="19" y="188"/>
              </a:lnTo>
              <a:lnTo>
                <a:pt x="19" y="188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3B0E8DFD-38C6-478E-A0C0-0E1742309B01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AL
5732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124784</xdr:colOff>
      <xdr:row>18</xdr:row>
      <xdr:rowOff>59924</xdr:rowOff>
    </xdr:from>
    <xdr:to>
      <xdr:col>9</xdr:col>
      <xdr:colOff>472099</xdr:colOff>
      <xdr:row>20</xdr:row>
      <xdr:rowOff>89069</xdr:rowOff>
    </xdr:to>
    <xdr:sp macro="" textlink="data!E54">
      <xdr:nvSpPr>
        <xdr:cNvPr id="208" name="TN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>
          <a:spLocks/>
        </xdr:cNvSpPr>
      </xdr:nvSpPr>
      <xdr:spPr bwMode="auto">
        <a:xfrm>
          <a:off x="5611184" y="2974574"/>
          <a:ext cx="956915" cy="352995"/>
        </a:xfrm>
        <a:custGeom>
          <a:avLst/>
          <a:gdLst>
            <a:gd name="T0" fmla="*/ 72 w 435"/>
            <a:gd name="T1" fmla="*/ 200 h 206"/>
            <a:gd name="T2" fmla="*/ 111 w 435"/>
            <a:gd name="T3" fmla="*/ 196 h 206"/>
            <a:gd name="T4" fmla="*/ 187 w 435"/>
            <a:gd name="T5" fmla="*/ 185 h 206"/>
            <a:gd name="T6" fmla="*/ 292 w 435"/>
            <a:gd name="T7" fmla="*/ 168 h 206"/>
            <a:gd name="T8" fmla="*/ 313 w 435"/>
            <a:gd name="T9" fmla="*/ 144 h 206"/>
            <a:gd name="T10" fmla="*/ 325 w 435"/>
            <a:gd name="T11" fmla="*/ 136 h 206"/>
            <a:gd name="T12" fmla="*/ 328 w 435"/>
            <a:gd name="T13" fmla="*/ 123 h 206"/>
            <a:gd name="T14" fmla="*/ 339 w 435"/>
            <a:gd name="T15" fmla="*/ 111 h 206"/>
            <a:gd name="T16" fmla="*/ 351 w 435"/>
            <a:gd name="T17" fmla="*/ 108 h 206"/>
            <a:gd name="T18" fmla="*/ 371 w 435"/>
            <a:gd name="T19" fmla="*/ 85 h 206"/>
            <a:gd name="T20" fmla="*/ 377 w 435"/>
            <a:gd name="T21" fmla="*/ 80 h 206"/>
            <a:gd name="T22" fmla="*/ 383 w 435"/>
            <a:gd name="T23" fmla="*/ 71 h 206"/>
            <a:gd name="T24" fmla="*/ 386 w 435"/>
            <a:gd name="T25" fmla="*/ 63 h 206"/>
            <a:gd name="T26" fmla="*/ 394 w 435"/>
            <a:gd name="T27" fmla="*/ 64 h 206"/>
            <a:gd name="T28" fmla="*/ 400 w 435"/>
            <a:gd name="T29" fmla="*/ 59 h 206"/>
            <a:gd name="T30" fmla="*/ 406 w 435"/>
            <a:gd name="T31" fmla="*/ 49 h 206"/>
            <a:gd name="T32" fmla="*/ 418 w 435"/>
            <a:gd name="T33" fmla="*/ 48 h 206"/>
            <a:gd name="T34" fmla="*/ 424 w 435"/>
            <a:gd name="T35" fmla="*/ 31 h 206"/>
            <a:gd name="T36" fmla="*/ 432 w 435"/>
            <a:gd name="T37" fmla="*/ 23 h 206"/>
            <a:gd name="T38" fmla="*/ 433 w 435"/>
            <a:gd name="T39" fmla="*/ 8 h 206"/>
            <a:gd name="T40" fmla="*/ 429 w 435"/>
            <a:gd name="T41" fmla="*/ 0 h 206"/>
            <a:gd name="T42" fmla="*/ 392 w 435"/>
            <a:gd name="T43" fmla="*/ 11 h 206"/>
            <a:gd name="T44" fmla="*/ 349 w 435"/>
            <a:gd name="T45" fmla="*/ 17 h 206"/>
            <a:gd name="T46" fmla="*/ 328 w 435"/>
            <a:gd name="T47" fmla="*/ 23 h 206"/>
            <a:gd name="T48" fmla="*/ 293 w 435"/>
            <a:gd name="T49" fmla="*/ 28 h 206"/>
            <a:gd name="T50" fmla="*/ 253 w 435"/>
            <a:gd name="T51" fmla="*/ 32 h 206"/>
            <a:gd name="T52" fmla="*/ 214 w 435"/>
            <a:gd name="T53" fmla="*/ 39 h 206"/>
            <a:gd name="T54" fmla="*/ 163 w 435"/>
            <a:gd name="T55" fmla="*/ 44 h 206"/>
            <a:gd name="T56" fmla="*/ 121 w 435"/>
            <a:gd name="T57" fmla="*/ 51 h 206"/>
            <a:gd name="T58" fmla="*/ 107 w 435"/>
            <a:gd name="T59" fmla="*/ 48 h 206"/>
            <a:gd name="T60" fmla="*/ 109 w 435"/>
            <a:gd name="T61" fmla="*/ 65 h 206"/>
            <a:gd name="T62" fmla="*/ 35 w 435"/>
            <a:gd name="T63" fmla="*/ 77 h 206"/>
            <a:gd name="T64" fmla="*/ 32 w 435"/>
            <a:gd name="T65" fmla="*/ 73 h 206"/>
            <a:gd name="T66" fmla="*/ 35 w 435"/>
            <a:gd name="T67" fmla="*/ 84 h 206"/>
            <a:gd name="T68" fmla="*/ 33 w 435"/>
            <a:gd name="T69" fmla="*/ 92 h 206"/>
            <a:gd name="T70" fmla="*/ 31 w 435"/>
            <a:gd name="T71" fmla="*/ 103 h 206"/>
            <a:gd name="T72" fmla="*/ 26 w 435"/>
            <a:gd name="T73" fmla="*/ 117 h 206"/>
            <a:gd name="T74" fmla="*/ 28 w 435"/>
            <a:gd name="T75" fmla="*/ 125 h 206"/>
            <a:gd name="T76" fmla="*/ 26 w 435"/>
            <a:gd name="T77" fmla="*/ 133 h 206"/>
            <a:gd name="T78" fmla="*/ 18 w 435"/>
            <a:gd name="T79" fmla="*/ 141 h 206"/>
            <a:gd name="T80" fmla="*/ 16 w 435"/>
            <a:gd name="T81" fmla="*/ 145 h 206"/>
            <a:gd name="T82" fmla="*/ 16 w 435"/>
            <a:gd name="T83" fmla="*/ 153 h 206"/>
            <a:gd name="T84" fmla="*/ 11 w 435"/>
            <a:gd name="T85" fmla="*/ 160 h 206"/>
            <a:gd name="T86" fmla="*/ 12 w 435"/>
            <a:gd name="T87" fmla="*/ 169 h 206"/>
            <a:gd name="T88" fmla="*/ 7 w 435"/>
            <a:gd name="T89" fmla="*/ 168 h 206"/>
            <a:gd name="T90" fmla="*/ 10 w 435"/>
            <a:gd name="T91" fmla="*/ 172 h 206"/>
            <a:gd name="T92" fmla="*/ 11 w 435"/>
            <a:gd name="T93" fmla="*/ 193 h 206"/>
            <a:gd name="T94" fmla="*/ 7 w 435"/>
            <a:gd name="T95" fmla="*/ 197 h 206"/>
            <a:gd name="T96" fmla="*/ 1 w 435"/>
            <a:gd name="T97" fmla="*/ 205 h 206"/>
            <a:gd name="T98" fmla="*/ 0 w 435"/>
            <a:gd name="T99" fmla="*/ 206 h 20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</a:cxnLst>
          <a:rect l="0" t="0" r="r" b="b"/>
          <a:pathLst>
            <a:path w="435" h="206">
              <a:moveTo>
                <a:pt x="0" y="206"/>
              </a:moveTo>
              <a:lnTo>
                <a:pt x="72" y="200"/>
              </a:lnTo>
              <a:lnTo>
                <a:pt x="111" y="194"/>
              </a:lnTo>
              <a:lnTo>
                <a:pt x="111" y="196"/>
              </a:lnTo>
              <a:lnTo>
                <a:pt x="111" y="193"/>
              </a:lnTo>
              <a:lnTo>
                <a:pt x="187" y="185"/>
              </a:lnTo>
              <a:lnTo>
                <a:pt x="245" y="176"/>
              </a:lnTo>
              <a:lnTo>
                <a:pt x="292" y="168"/>
              </a:lnTo>
              <a:lnTo>
                <a:pt x="313" y="167"/>
              </a:lnTo>
              <a:lnTo>
                <a:pt x="313" y="144"/>
              </a:lnTo>
              <a:lnTo>
                <a:pt x="322" y="141"/>
              </a:lnTo>
              <a:lnTo>
                <a:pt x="325" y="136"/>
              </a:lnTo>
              <a:lnTo>
                <a:pt x="326" y="128"/>
              </a:lnTo>
              <a:lnTo>
                <a:pt x="328" y="123"/>
              </a:lnTo>
              <a:lnTo>
                <a:pt x="331" y="117"/>
              </a:lnTo>
              <a:lnTo>
                <a:pt x="339" y="111"/>
              </a:lnTo>
              <a:lnTo>
                <a:pt x="348" y="109"/>
              </a:lnTo>
              <a:lnTo>
                <a:pt x="351" y="108"/>
              </a:lnTo>
              <a:lnTo>
                <a:pt x="363" y="92"/>
              </a:lnTo>
              <a:lnTo>
                <a:pt x="371" y="85"/>
              </a:lnTo>
              <a:lnTo>
                <a:pt x="375" y="85"/>
              </a:lnTo>
              <a:lnTo>
                <a:pt x="377" y="80"/>
              </a:lnTo>
              <a:lnTo>
                <a:pt x="379" y="68"/>
              </a:lnTo>
              <a:lnTo>
                <a:pt x="383" y="71"/>
              </a:lnTo>
              <a:lnTo>
                <a:pt x="384" y="65"/>
              </a:lnTo>
              <a:lnTo>
                <a:pt x="386" y="63"/>
              </a:lnTo>
              <a:lnTo>
                <a:pt x="390" y="59"/>
              </a:lnTo>
              <a:lnTo>
                <a:pt x="394" y="64"/>
              </a:lnTo>
              <a:lnTo>
                <a:pt x="396" y="64"/>
              </a:lnTo>
              <a:lnTo>
                <a:pt x="400" y="59"/>
              </a:lnTo>
              <a:lnTo>
                <a:pt x="402" y="53"/>
              </a:lnTo>
              <a:lnTo>
                <a:pt x="406" y="49"/>
              </a:lnTo>
              <a:lnTo>
                <a:pt x="414" y="44"/>
              </a:lnTo>
              <a:lnTo>
                <a:pt x="418" y="48"/>
              </a:lnTo>
              <a:lnTo>
                <a:pt x="422" y="43"/>
              </a:lnTo>
              <a:lnTo>
                <a:pt x="424" y="31"/>
              </a:lnTo>
              <a:lnTo>
                <a:pt x="428" y="25"/>
              </a:lnTo>
              <a:lnTo>
                <a:pt x="432" y="23"/>
              </a:lnTo>
              <a:lnTo>
                <a:pt x="434" y="13"/>
              </a:lnTo>
              <a:lnTo>
                <a:pt x="433" y="8"/>
              </a:lnTo>
              <a:lnTo>
                <a:pt x="435" y="0"/>
              </a:lnTo>
              <a:lnTo>
                <a:pt x="429" y="0"/>
              </a:lnTo>
              <a:lnTo>
                <a:pt x="413" y="5"/>
              </a:lnTo>
              <a:lnTo>
                <a:pt x="392" y="11"/>
              </a:lnTo>
              <a:lnTo>
                <a:pt x="357" y="17"/>
              </a:lnTo>
              <a:lnTo>
                <a:pt x="349" y="17"/>
              </a:lnTo>
              <a:lnTo>
                <a:pt x="333" y="20"/>
              </a:lnTo>
              <a:lnTo>
                <a:pt x="328" y="23"/>
              </a:lnTo>
              <a:lnTo>
                <a:pt x="309" y="25"/>
              </a:lnTo>
              <a:lnTo>
                <a:pt x="293" y="28"/>
              </a:lnTo>
              <a:lnTo>
                <a:pt x="276" y="31"/>
              </a:lnTo>
              <a:lnTo>
                <a:pt x="253" y="32"/>
              </a:lnTo>
              <a:lnTo>
                <a:pt x="239" y="35"/>
              </a:lnTo>
              <a:lnTo>
                <a:pt x="214" y="39"/>
              </a:lnTo>
              <a:lnTo>
                <a:pt x="189" y="40"/>
              </a:lnTo>
              <a:lnTo>
                <a:pt x="163" y="44"/>
              </a:lnTo>
              <a:lnTo>
                <a:pt x="142" y="47"/>
              </a:lnTo>
              <a:lnTo>
                <a:pt x="121" y="51"/>
              </a:lnTo>
              <a:lnTo>
                <a:pt x="116" y="48"/>
              </a:lnTo>
              <a:lnTo>
                <a:pt x="107" y="48"/>
              </a:lnTo>
              <a:lnTo>
                <a:pt x="110" y="59"/>
              </a:lnTo>
              <a:lnTo>
                <a:pt x="109" y="65"/>
              </a:lnTo>
              <a:lnTo>
                <a:pt x="39" y="73"/>
              </a:lnTo>
              <a:lnTo>
                <a:pt x="35" y="77"/>
              </a:lnTo>
              <a:lnTo>
                <a:pt x="36" y="73"/>
              </a:lnTo>
              <a:lnTo>
                <a:pt x="32" y="73"/>
              </a:lnTo>
              <a:lnTo>
                <a:pt x="33" y="79"/>
              </a:lnTo>
              <a:lnTo>
                <a:pt x="35" y="84"/>
              </a:lnTo>
              <a:lnTo>
                <a:pt x="30" y="87"/>
              </a:lnTo>
              <a:lnTo>
                <a:pt x="33" y="92"/>
              </a:lnTo>
              <a:lnTo>
                <a:pt x="27" y="97"/>
              </a:lnTo>
              <a:lnTo>
                <a:pt x="31" y="103"/>
              </a:lnTo>
              <a:lnTo>
                <a:pt x="29" y="108"/>
              </a:lnTo>
              <a:lnTo>
                <a:pt x="26" y="117"/>
              </a:lnTo>
              <a:lnTo>
                <a:pt x="27" y="120"/>
              </a:lnTo>
              <a:lnTo>
                <a:pt x="28" y="125"/>
              </a:lnTo>
              <a:lnTo>
                <a:pt x="24" y="128"/>
              </a:lnTo>
              <a:lnTo>
                <a:pt x="26" y="133"/>
              </a:lnTo>
              <a:lnTo>
                <a:pt x="22" y="139"/>
              </a:lnTo>
              <a:lnTo>
                <a:pt x="18" y="141"/>
              </a:lnTo>
              <a:lnTo>
                <a:pt x="16" y="144"/>
              </a:lnTo>
              <a:lnTo>
                <a:pt x="16" y="145"/>
              </a:lnTo>
              <a:lnTo>
                <a:pt x="19" y="151"/>
              </a:lnTo>
              <a:lnTo>
                <a:pt x="16" y="153"/>
              </a:lnTo>
              <a:lnTo>
                <a:pt x="14" y="157"/>
              </a:lnTo>
              <a:lnTo>
                <a:pt x="11" y="160"/>
              </a:lnTo>
              <a:lnTo>
                <a:pt x="14" y="165"/>
              </a:lnTo>
              <a:lnTo>
                <a:pt x="12" y="169"/>
              </a:lnTo>
              <a:lnTo>
                <a:pt x="11" y="165"/>
              </a:lnTo>
              <a:lnTo>
                <a:pt x="7" y="168"/>
              </a:lnTo>
              <a:lnTo>
                <a:pt x="6" y="173"/>
              </a:lnTo>
              <a:lnTo>
                <a:pt x="10" y="172"/>
              </a:lnTo>
              <a:lnTo>
                <a:pt x="9" y="179"/>
              </a:lnTo>
              <a:lnTo>
                <a:pt x="11" y="193"/>
              </a:lnTo>
              <a:lnTo>
                <a:pt x="11" y="196"/>
              </a:lnTo>
              <a:lnTo>
                <a:pt x="7" y="197"/>
              </a:lnTo>
              <a:lnTo>
                <a:pt x="5" y="202"/>
              </a:lnTo>
              <a:lnTo>
                <a:pt x="1" y="205"/>
              </a:lnTo>
              <a:lnTo>
                <a:pt x="0" y="206"/>
              </a:lnTo>
              <a:lnTo>
                <a:pt x="0" y="206"/>
              </a:lnTo>
              <a:lnTo>
                <a:pt x="0" y="206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5B42DA6C-FBE6-451F-8E39-F2D728BD28E0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TN
6248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214096</xdr:colOff>
      <xdr:row>16</xdr:row>
      <xdr:rowOff>73308</xdr:rowOff>
    </xdr:from>
    <xdr:to>
      <xdr:col>9</xdr:col>
      <xdr:colOff>421063</xdr:colOff>
      <xdr:row>19</xdr:row>
      <xdr:rowOff>29840</xdr:rowOff>
    </xdr:to>
    <xdr:sp macro="" textlink="data!E28">
      <xdr:nvSpPr>
        <xdr:cNvPr id="209" name="KY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>
          <a:spLocks/>
        </xdr:cNvSpPr>
      </xdr:nvSpPr>
      <xdr:spPr bwMode="auto">
        <a:xfrm>
          <a:off x="5700496" y="2664108"/>
          <a:ext cx="816567" cy="442307"/>
        </a:xfrm>
        <a:custGeom>
          <a:avLst/>
          <a:gdLst>
            <a:gd name="T0" fmla="*/ 71 w 371"/>
            <a:gd name="T1" fmla="*/ 247 h 261"/>
            <a:gd name="T2" fmla="*/ 82 w 371"/>
            <a:gd name="T3" fmla="*/ 239 h 261"/>
            <a:gd name="T4" fmla="*/ 150 w 371"/>
            <a:gd name="T5" fmla="*/ 228 h 261"/>
            <a:gd name="T6" fmla="*/ 214 w 371"/>
            <a:gd name="T7" fmla="*/ 220 h 261"/>
            <a:gd name="T8" fmla="*/ 270 w 371"/>
            <a:gd name="T9" fmla="*/ 213 h 261"/>
            <a:gd name="T10" fmla="*/ 302 w 371"/>
            <a:gd name="T11" fmla="*/ 201 h 261"/>
            <a:gd name="T12" fmla="*/ 320 w 371"/>
            <a:gd name="T13" fmla="*/ 191 h 261"/>
            <a:gd name="T14" fmla="*/ 329 w 371"/>
            <a:gd name="T15" fmla="*/ 177 h 261"/>
            <a:gd name="T16" fmla="*/ 338 w 371"/>
            <a:gd name="T17" fmla="*/ 163 h 261"/>
            <a:gd name="T18" fmla="*/ 355 w 371"/>
            <a:gd name="T19" fmla="*/ 136 h 261"/>
            <a:gd name="T20" fmla="*/ 354 w 371"/>
            <a:gd name="T21" fmla="*/ 103 h 261"/>
            <a:gd name="T22" fmla="*/ 340 w 371"/>
            <a:gd name="T23" fmla="*/ 77 h 261"/>
            <a:gd name="T24" fmla="*/ 333 w 371"/>
            <a:gd name="T25" fmla="*/ 49 h 261"/>
            <a:gd name="T26" fmla="*/ 328 w 371"/>
            <a:gd name="T27" fmla="*/ 37 h 261"/>
            <a:gd name="T28" fmla="*/ 316 w 371"/>
            <a:gd name="T29" fmla="*/ 27 h 261"/>
            <a:gd name="T30" fmla="*/ 304 w 371"/>
            <a:gd name="T31" fmla="*/ 25 h 261"/>
            <a:gd name="T32" fmla="*/ 293 w 371"/>
            <a:gd name="T33" fmla="*/ 33 h 261"/>
            <a:gd name="T34" fmla="*/ 280 w 371"/>
            <a:gd name="T35" fmla="*/ 28 h 261"/>
            <a:gd name="T36" fmla="*/ 265 w 371"/>
            <a:gd name="T37" fmla="*/ 25 h 261"/>
            <a:gd name="T38" fmla="*/ 249 w 371"/>
            <a:gd name="T39" fmla="*/ 24 h 261"/>
            <a:gd name="T40" fmla="*/ 231 w 371"/>
            <a:gd name="T41" fmla="*/ 1 h 261"/>
            <a:gd name="T42" fmla="*/ 214 w 371"/>
            <a:gd name="T43" fmla="*/ 4 h 261"/>
            <a:gd name="T44" fmla="*/ 214 w 371"/>
            <a:gd name="T45" fmla="*/ 20 h 261"/>
            <a:gd name="T46" fmla="*/ 208 w 371"/>
            <a:gd name="T47" fmla="*/ 33 h 261"/>
            <a:gd name="T48" fmla="*/ 191 w 371"/>
            <a:gd name="T49" fmla="*/ 40 h 261"/>
            <a:gd name="T50" fmla="*/ 189 w 371"/>
            <a:gd name="T51" fmla="*/ 53 h 261"/>
            <a:gd name="T52" fmla="*/ 181 w 371"/>
            <a:gd name="T53" fmla="*/ 67 h 261"/>
            <a:gd name="T54" fmla="*/ 171 w 371"/>
            <a:gd name="T55" fmla="*/ 83 h 261"/>
            <a:gd name="T56" fmla="*/ 168 w 371"/>
            <a:gd name="T57" fmla="*/ 105 h 261"/>
            <a:gd name="T58" fmla="*/ 151 w 371"/>
            <a:gd name="T59" fmla="*/ 105 h 261"/>
            <a:gd name="T60" fmla="*/ 146 w 371"/>
            <a:gd name="T61" fmla="*/ 100 h 261"/>
            <a:gd name="T62" fmla="*/ 139 w 371"/>
            <a:gd name="T63" fmla="*/ 115 h 261"/>
            <a:gd name="T64" fmla="*/ 130 w 371"/>
            <a:gd name="T65" fmla="*/ 123 h 261"/>
            <a:gd name="T66" fmla="*/ 120 w 371"/>
            <a:gd name="T67" fmla="*/ 120 h 261"/>
            <a:gd name="T68" fmla="*/ 113 w 371"/>
            <a:gd name="T69" fmla="*/ 129 h 261"/>
            <a:gd name="T70" fmla="*/ 94 w 371"/>
            <a:gd name="T71" fmla="*/ 124 h 261"/>
            <a:gd name="T72" fmla="*/ 85 w 371"/>
            <a:gd name="T73" fmla="*/ 132 h 261"/>
            <a:gd name="T74" fmla="*/ 76 w 371"/>
            <a:gd name="T75" fmla="*/ 132 h 261"/>
            <a:gd name="T76" fmla="*/ 67 w 371"/>
            <a:gd name="T77" fmla="*/ 140 h 261"/>
            <a:gd name="T78" fmla="*/ 61 w 371"/>
            <a:gd name="T79" fmla="*/ 147 h 261"/>
            <a:gd name="T80" fmla="*/ 63 w 371"/>
            <a:gd name="T81" fmla="*/ 164 h 261"/>
            <a:gd name="T82" fmla="*/ 47 w 371"/>
            <a:gd name="T83" fmla="*/ 176 h 261"/>
            <a:gd name="T84" fmla="*/ 43 w 371"/>
            <a:gd name="T85" fmla="*/ 189 h 261"/>
            <a:gd name="T86" fmla="*/ 44 w 371"/>
            <a:gd name="T87" fmla="*/ 207 h 261"/>
            <a:gd name="T88" fmla="*/ 29 w 371"/>
            <a:gd name="T89" fmla="*/ 199 h 261"/>
            <a:gd name="T90" fmla="*/ 16 w 371"/>
            <a:gd name="T91" fmla="*/ 197 h 261"/>
            <a:gd name="T92" fmla="*/ 13 w 371"/>
            <a:gd name="T93" fmla="*/ 217 h 261"/>
            <a:gd name="T94" fmla="*/ 14 w 371"/>
            <a:gd name="T95" fmla="*/ 236 h 261"/>
            <a:gd name="T96" fmla="*/ 10 w 371"/>
            <a:gd name="T97" fmla="*/ 253 h 261"/>
            <a:gd name="T98" fmla="*/ 0 w 371"/>
            <a:gd name="T99" fmla="*/ 261 h 26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</a:cxnLst>
          <a:rect l="0" t="0" r="r" b="b"/>
          <a:pathLst>
            <a:path w="371" h="261">
              <a:moveTo>
                <a:pt x="0" y="261"/>
              </a:moveTo>
              <a:lnTo>
                <a:pt x="70" y="253"/>
              </a:lnTo>
              <a:lnTo>
                <a:pt x="71" y="247"/>
              </a:lnTo>
              <a:lnTo>
                <a:pt x="68" y="236"/>
              </a:lnTo>
              <a:lnTo>
                <a:pt x="77" y="236"/>
              </a:lnTo>
              <a:lnTo>
                <a:pt x="82" y="239"/>
              </a:lnTo>
              <a:lnTo>
                <a:pt x="103" y="235"/>
              </a:lnTo>
              <a:lnTo>
                <a:pt x="124" y="232"/>
              </a:lnTo>
              <a:lnTo>
                <a:pt x="150" y="228"/>
              </a:lnTo>
              <a:lnTo>
                <a:pt x="175" y="227"/>
              </a:lnTo>
              <a:lnTo>
                <a:pt x="200" y="223"/>
              </a:lnTo>
              <a:lnTo>
                <a:pt x="214" y="220"/>
              </a:lnTo>
              <a:lnTo>
                <a:pt x="237" y="219"/>
              </a:lnTo>
              <a:lnTo>
                <a:pt x="254" y="216"/>
              </a:lnTo>
              <a:lnTo>
                <a:pt x="270" y="213"/>
              </a:lnTo>
              <a:lnTo>
                <a:pt x="289" y="211"/>
              </a:lnTo>
              <a:lnTo>
                <a:pt x="294" y="208"/>
              </a:lnTo>
              <a:lnTo>
                <a:pt x="302" y="201"/>
              </a:lnTo>
              <a:lnTo>
                <a:pt x="306" y="200"/>
              </a:lnTo>
              <a:lnTo>
                <a:pt x="310" y="196"/>
              </a:lnTo>
              <a:lnTo>
                <a:pt x="320" y="191"/>
              </a:lnTo>
              <a:lnTo>
                <a:pt x="321" y="185"/>
              </a:lnTo>
              <a:lnTo>
                <a:pt x="325" y="180"/>
              </a:lnTo>
              <a:lnTo>
                <a:pt x="329" y="177"/>
              </a:lnTo>
              <a:lnTo>
                <a:pt x="332" y="172"/>
              </a:lnTo>
              <a:lnTo>
                <a:pt x="333" y="167"/>
              </a:lnTo>
              <a:lnTo>
                <a:pt x="338" y="163"/>
              </a:lnTo>
              <a:lnTo>
                <a:pt x="338" y="156"/>
              </a:lnTo>
              <a:lnTo>
                <a:pt x="341" y="151"/>
              </a:lnTo>
              <a:lnTo>
                <a:pt x="355" y="136"/>
              </a:lnTo>
              <a:lnTo>
                <a:pt x="371" y="112"/>
              </a:lnTo>
              <a:lnTo>
                <a:pt x="363" y="111"/>
              </a:lnTo>
              <a:lnTo>
                <a:pt x="354" y="103"/>
              </a:lnTo>
              <a:lnTo>
                <a:pt x="346" y="88"/>
              </a:lnTo>
              <a:lnTo>
                <a:pt x="342" y="83"/>
              </a:lnTo>
              <a:lnTo>
                <a:pt x="340" y="77"/>
              </a:lnTo>
              <a:lnTo>
                <a:pt x="332" y="65"/>
              </a:lnTo>
              <a:lnTo>
                <a:pt x="334" y="55"/>
              </a:lnTo>
              <a:lnTo>
                <a:pt x="333" y="49"/>
              </a:lnTo>
              <a:lnTo>
                <a:pt x="332" y="47"/>
              </a:lnTo>
              <a:lnTo>
                <a:pt x="331" y="43"/>
              </a:lnTo>
              <a:lnTo>
                <a:pt x="328" y="37"/>
              </a:lnTo>
              <a:lnTo>
                <a:pt x="324" y="32"/>
              </a:lnTo>
              <a:lnTo>
                <a:pt x="320" y="32"/>
              </a:lnTo>
              <a:lnTo>
                <a:pt x="316" y="27"/>
              </a:lnTo>
              <a:lnTo>
                <a:pt x="313" y="17"/>
              </a:lnTo>
              <a:lnTo>
                <a:pt x="308" y="20"/>
              </a:lnTo>
              <a:lnTo>
                <a:pt x="304" y="25"/>
              </a:lnTo>
              <a:lnTo>
                <a:pt x="301" y="31"/>
              </a:lnTo>
              <a:lnTo>
                <a:pt x="297" y="31"/>
              </a:lnTo>
              <a:lnTo>
                <a:pt x="293" y="33"/>
              </a:lnTo>
              <a:lnTo>
                <a:pt x="289" y="28"/>
              </a:lnTo>
              <a:lnTo>
                <a:pt x="284" y="28"/>
              </a:lnTo>
              <a:lnTo>
                <a:pt x="280" y="28"/>
              </a:lnTo>
              <a:lnTo>
                <a:pt x="277" y="33"/>
              </a:lnTo>
              <a:lnTo>
                <a:pt x="273" y="33"/>
              </a:lnTo>
              <a:lnTo>
                <a:pt x="265" y="25"/>
              </a:lnTo>
              <a:lnTo>
                <a:pt x="262" y="24"/>
              </a:lnTo>
              <a:lnTo>
                <a:pt x="254" y="25"/>
              </a:lnTo>
              <a:lnTo>
                <a:pt x="249" y="24"/>
              </a:lnTo>
              <a:lnTo>
                <a:pt x="243" y="13"/>
              </a:lnTo>
              <a:lnTo>
                <a:pt x="241" y="7"/>
              </a:lnTo>
              <a:lnTo>
                <a:pt x="231" y="1"/>
              </a:lnTo>
              <a:lnTo>
                <a:pt x="224" y="4"/>
              </a:lnTo>
              <a:lnTo>
                <a:pt x="220" y="0"/>
              </a:lnTo>
              <a:lnTo>
                <a:pt x="214" y="4"/>
              </a:lnTo>
              <a:lnTo>
                <a:pt x="212" y="7"/>
              </a:lnTo>
              <a:lnTo>
                <a:pt x="215" y="15"/>
              </a:lnTo>
              <a:lnTo>
                <a:pt x="214" y="20"/>
              </a:lnTo>
              <a:lnTo>
                <a:pt x="218" y="25"/>
              </a:lnTo>
              <a:lnTo>
                <a:pt x="217" y="31"/>
              </a:lnTo>
              <a:lnTo>
                <a:pt x="208" y="33"/>
              </a:lnTo>
              <a:lnTo>
                <a:pt x="200" y="43"/>
              </a:lnTo>
              <a:lnTo>
                <a:pt x="195" y="39"/>
              </a:lnTo>
              <a:lnTo>
                <a:pt x="191" y="40"/>
              </a:lnTo>
              <a:lnTo>
                <a:pt x="187" y="41"/>
              </a:lnTo>
              <a:lnTo>
                <a:pt x="188" y="47"/>
              </a:lnTo>
              <a:lnTo>
                <a:pt x="189" y="53"/>
              </a:lnTo>
              <a:lnTo>
                <a:pt x="188" y="59"/>
              </a:lnTo>
              <a:lnTo>
                <a:pt x="185" y="64"/>
              </a:lnTo>
              <a:lnTo>
                <a:pt x="181" y="67"/>
              </a:lnTo>
              <a:lnTo>
                <a:pt x="179" y="79"/>
              </a:lnTo>
              <a:lnTo>
                <a:pt x="175" y="83"/>
              </a:lnTo>
              <a:lnTo>
                <a:pt x="171" y="83"/>
              </a:lnTo>
              <a:lnTo>
                <a:pt x="168" y="93"/>
              </a:lnTo>
              <a:lnTo>
                <a:pt x="169" y="100"/>
              </a:lnTo>
              <a:lnTo>
                <a:pt x="168" y="105"/>
              </a:lnTo>
              <a:lnTo>
                <a:pt x="164" y="109"/>
              </a:lnTo>
              <a:lnTo>
                <a:pt x="155" y="108"/>
              </a:lnTo>
              <a:lnTo>
                <a:pt x="151" y="105"/>
              </a:lnTo>
              <a:lnTo>
                <a:pt x="148" y="97"/>
              </a:lnTo>
              <a:lnTo>
                <a:pt x="144" y="95"/>
              </a:lnTo>
              <a:lnTo>
                <a:pt x="146" y="100"/>
              </a:lnTo>
              <a:lnTo>
                <a:pt x="141" y="104"/>
              </a:lnTo>
              <a:lnTo>
                <a:pt x="138" y="109"/>
              </a:lnTo>
              <a:lnTo>
                <a:pt x="139" y="115"/>
              </a:lnTo>
              <a:lnTo>
                <a:pt x="135" y="120"/>
              </a:lnTo>
              <a:lnTo>
                <a:pt x="135" y="125"/>
              </a:lnTo>
              <a:lnTo>
                <a:pt x="130" y="123"/>
              </a:lnTo>
              <a:lnTo>
                <a:pt x="126" y="121"/>
              </a:lnTo>
              <a:lnTo>
                <a:pt x="123" y="115"/>
              </a:lnTo>
              <a:lnTo>
                <a:pt x="120" y="120"/>
              </a:lnTo>
              <a:lnTo>
                <a:pt x="116" y="121"/>
              </a:lnTo>
              <a:lnTo>
                <a:pt x="113" y="127"/>
              </a:lnTo>
              <a:lnTo>
                <a:pt x="113" y="129"/>
              </a:lnTo>
              <a:lnTo>
                <a:pt x="110" y="135"/>
              </a:lnTo>
              <a:lnTo>
                <a:pt x="106" y="129"/>
              </a:lnTo>
              <a:lnTo>
                <a:pt x="94" y="124"/>
              </a:lnTo>
              <a:lnTo>
                <a:pt x="90" y="127"/>
              </a:lnTo>
              <a:lnTo>
                <a:pt x="84" y="127"/>
              </a:lnTo>
              <a:lnTo>
                <a:pt x="85" y="132"/>
              </a:lnTo>
              <a:lnTo>
                <a:pt x="81" y="135"/>
              </a:lnTo>
              <a:lnTo>
                <a:pt x="80" y="128"/>
              </a:lnTo>
              <a:lnTo>
                <a:pt x="76" y="132"/>
              </a:lnTo>
              <a:lnTo>
                <a:pt x="68" y="129"/>
              </a:lnTo>
              <a:lnTo>
                <a:pt x="70" y="135"/>
              </a:lnTo>
              <a:lnTo>
                <a:pt x="67" y="140"/>
              </a:lnTo>
              <a:lnTo>
                <a:pt x="63" y="140"/>
              </a:lnTo>
              <a:lnTo>
                <a:pt x="63" y="141"/>
              </a:lnTo>
              <a:lnTo>
                <a:pt x="61" y="147"/>
              </a:lnTo>
              <a:lnTo>
                <a:pt x="59" y="152"/>
              </a:lnTo>
              <a:lnTo>
                <a:pt x="59" y="159"/>
              </a:lnTo>
              <a:lnTo>
                <a:pt x="63" y="164"/>
              </a:lnTo>
              <a:lnTo>
                <a:pt x="60" y="169"/>
              </a:lnTo>
              <a:lnTo>
                <a:pt x="52" y="172"/>
              </a:lnTo>
              <a:lnTo>
                <a:pt x="47" y="176"/>
              </a:lnTo>
              <a:lnTo>
                <a:pt x="43" y="177"/>
              </a:lnTo>
              <a:lnTo>
                <a:pt x="42" y="183"/>
              </a:lnTo>
              <a:lnTo>
                <a:pt x="43" y="189"/>
              </a:lnTo>
              <a:lnTo>
                <a:pt x="46" y="195"/>
              </a:lnTo>
              <a:lnTo>
                <a:pt x="47" y="200"/>
              </a:lnTo>
              <a:lnTo>
                <a:pt x="44" y="207"/>
              </a:lnTo>
              <a:lnTo>
                <a:pt x="40" y="205"/>
              </a:lnTo>
              <a:lnTo>
                <a:pt x="37" y="203"/>
              </a:lnTo>
              <a:lnTo>
                <a:pt x="29" y="199"/>
              </a:lnTo>
              <a:lnTo>
                <a:pt x="25" y="196"/>
              </a:lnTo>
              <a:lnTo>
                <a:pt x="20" y="196"/>
              </a:lnTo>
              <a:lnTo>
                <a:pt x="16" y="197"/>
              </a:lnTo>
              <a:lnTo>
                <a:pt x="10" y="208"/>
              </a:lnTo>
              <a:lnTo>
                <a:pt x="10" y="213"/>
              </a:lnTo>
              <a:lnTo>
                <a:pt x="13" y="217"/>
              </a:lnTo>
              <a:lnTo>
                <a:pt x="13" y="221"/>
              </a:lnTo>
              <a:lnTo>
                <a:pt x="13" y="228"/>
              </a:lnTo>
              <a:lnTo>
                <a:pt x="14" y="236"/>
              </a:lnTo>
              <a:lnTo>
                <a:pt x="10" y="240"/>
              </a:lnTo>
              <a:lnTo>
                <a:pt x="12" y="245"/>
              </a:lnTo>
              <a:lnTo>
                <a:pt x="10" y="253"/>
              </a:lnTo>
              <a:lnTo>
                <a:pt x="6" y="251"/>
              </a:lnTo>
              <a:lnTo>
                <a:pt x="1" y="253"/>
              </a:lnTo>
              <a:lnTo>
                <a:pt x="0" y="261"/>
              </a:lnTo>
              <a:lnTo>
                <a:pt x="0" y="261"/>
              </a:lnTo>
              <a:lnTo>
                <a:pt x="0" y="261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C59A4A06-36CA-4189-9F29-A438F87C286A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KY
4680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341685</xdr:colOff>
      <xdr:row>14</xdr:row>
      <xdr:rowOff>18645</xdr:rowOff>
    </xdr:from>
    <xdr:to>
      <xdr:col>9</xdr:col>
      <xdr:colOff>76574</xdr:colOff>
      <xdr:row>17</xdr:row>
      <xdr:rowOff>145295</xdr:rowOff>
    </xdr:to>
    <xdr:sp macro="" textlink="data!E26">
      <xdr:nvSpPr>
        <xdr:cNvPr id="211" name="IN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>
          <a:spLocks/>
        </xdr:cNvSpPr>
      </xdr:nvSpPr>
      <xdr:spPr bwMode="auto">
        <a:xfrm>
          <a:off x="5828085" y="2285595"/>
          <a:ext cx="344489" cy="612425"/>
        </a:xfrm>
        <a:custGeom>
          <a:avLst/>
          <a:gdLst>
            <a:gd name="T0" fmla="*/ 7 w 158"/>
            <a:gd name="T1" fmla="*/ 365 h 365"/>
            <a:gd name="T2" fmla="*/ 8 w 158"/>
            <a:gd name="T3" fmla="*/ 354 h 365"/>
            <a:gd name="T4" fmla="*/ 20 w 158"/>
            <a:gd name="T5" fmla="*/ 353 h 365"/>
            <a:gd name="T6" fmla="*/ 25 w 158"/>
            <a:gd name="T7" fmla="*/ 357 h 365"/>
            <a:gd name="T8" fmla="*/ 30 w 158"/>
            <a:gd name="T9" fmla="*/ 352 h 365"/>
            <a:gd name="T10" fmla="*/ 46 w 158"/>
            <a:gd name="T11" fmla="*/ 354 h 365"/>
            <a:gd name="T12" fmla="*/ 53 w 158"/>
            <a:gd name="T13" fmla="*/ 354 h 365"/>
            <a:gd name="T14" fmla="*/ 56 w 158"/>
            <a:gd name="T15" fmla="*/ 346 h 365"/>
            <a:gd name="T16" fmla="*/ 63 w 158"/>
            <a:gd name="T17" fmla="*/ 340 h 365"/>
            <a:gd name="T18" fmla="*/ 70 w 158"/>
            <a:gd name="T19" fmla="*/ 348 h 365"/>
            <a:gd name="T20" fmla="*/ 75 w 158"/>
            <a:gd name="T21" fmla="*/ 345 h 365"/>
            <a:gd name="T22" fmla="*/ 78 w 158"/>
            <a:gd name="T23" fmla="*/ 334 h 365"/>
            <a:gd name="T24" fmla="*/ 86 w 158"/>
            <a:gd name="T25" fmla="*/ 325 h 365"/>
            <a:gd name="T26" fmla="*/ 88 w 158"/>
            <a:gd name="T27" fmla="*/ 322 h 365"/>
            <a:gd name="T28" fmla="*/ 95 w 158"/>
            <a:gd name="T29" fmla="*/ 333 h 365"/>
            <a:gd name="T30" fmla="*/ 108 w 158"/>
            <a:gd name="T31" fmla="*/ 330 h 365"/>
            <a:gd name="T32" fmla="*/ 108 w 158"/>
            <a:gd name="T33" fmla="*/ 318 h 365"/>
            <a:gd name="T34" fmla="*/ 115 w 158"/>
            <a:gd name="T35" fmla="*/ 308 h 365"/>
            <a:gd name="T36" fmla="*/ 121 w 158"/>
            <a:gd name="T37" fmla="*/ 292 h 365"/>
            <a:gd name="T38" fmla="*/ 128 w 158"/>
            <a:gd name="T39" fmla="*/ 284 h 365"/>
            <a:gd name="T40" fmla="*/ 128 w 158"/>
            <a:gd name="T41" fmla="*/ 272 h 365"/>
            <a:gd name="T42" fmla="*/ 131 w 158"/>
            <a:gd name="T43" fmla="*/ 265 h 365"/>
            <a:gd name="T44" fmla="*/ 140 w 158"/>
            <a:gd name="T45" fmla="*/ 268 h 365"/>
            <a:gd name="T46" fmla="*/ 157 w 158"/>
            <a:gd name="T47" fmla="*/ 256 h 365"/>
            <a:gd name="T48" fmla="*/ 154 w 158"/>
            <a:gd name="T49" fmla="*/ 245 h 365"/>
            <a:gd name="T50" fmla="*/ 152 w 158"/>
            <a:gd name="T51" fmla="*/ 232 h 365"/>
            <a:gd name="T52" fmla="*/ 142 w 158"/>
            <a:gd name="T53" fmla="*/ 85 h 365"/>
            <a:gd name="T54" fmla="*/ 130 w 158"/>
            <a:gd name="T55" fmla="*/ 0 h 365"/>
            <a:gd name="T56" fmla="*/ 39 w 158"/>
            <a:gd name="T57" fmla="*/ 15 h 365"/>
            <a:gd name="T58" fmla="*/ 28 w 158"/>
            <a:gd name="T59" fmla="*/ 23 h 365"/>
            <a:gd name="T60" fmla="*/ 16 w 158"/>
            <a:gd name="T61" fmla="*/ 31 h 365"/>
            <a:gd name="T62" fmla="*/ 5 w 158"/>
            <a:gd name="T63" fmla="*/ 23 h 365"/>
            <a:gd name="T64" fmla="*/ 19 w 158"/>
            <a:gd name="T65" fmla="*/ 226 h 365"/>
            <a:gd name="T66" fmla="*/ 17 w 158"/>
            <a:gd name="T67" fmla="*/ 238 h 365"/>
            <a:gd name="T68" fmla="*/ 15 w 158"/>
            <a:gd name="T69" fmla="*/ 250 h 365"/>
            <a:gd name="T70" fmla="*/ 22 w 158"/>
            <a:gd name="T71" fmla="*/ 262 h 365"/>
            <a:gd name="T72" fmla="*/ 24 w 158"/>
            <a:gd name="T73" fmla="*/ 278 h 365"/>
            <a:gd name="T74" fmla="*/ 22 w 158"/>
            <a:gd name="T75" fmla="*/ 286 h 365"/>
            <a:gd name="T76" fmla="*/ 17 w 158"/>
            <a:gd name="T77" fmla="*/ 302 h 365"/>
            <a:gd name="T78" fmla="*/ 8 w 158"/>
            <a:gd name="T79" fmla="*/ 320 h 365"/>
            <a:gd name="T80" fmla="*/ 4 w 158"/>
            <a:gd name="T81" fmla="*/ 330 h 365"/>
            <a:gd name="T82" fmla="*/ 3 w 158"/>
            <a:gd name="T83" fmla="*/ 342 h 365"/>
            <a:gd name="T84" fmla="*/ 2 w 158"/>
            <a:gd name="T85" fmla="*/ 353 h 365"/>
            <a:gd name="T86" fmla="*/ 3 w 158"/>
            <a:gd name="T87" fmla="*/ 365 h 365"/>
            <a:gd name="T88" fmla="*/ 3 w 158"/>
            <a:gd name="T89" fmla="*/ 365 h 36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</a:cxnLst>
          <a:rect l="0" t="0" r="r" b="b"/>
          <a:pathLst>
            <a:path w="158" h="365">
              <a:moveTo>
                <a:pt x="3" y="365"/>
              </a:moveTo>
              <a:lnTo>
                <a:pt x="7" y="365"/>
              </a:lnTo>
              <a:lnTo>
                <a:pt x="10" y="360"/>
              </a:lnTo>
              <a:lnTo>
                <a:pt x="8" y="354"/>
              </a:lnTo>
              <a:lnTo>
                <a:pt x="16" y="357"/>
              </a:lnTo>
              <a:lnTo>
                <a:pt x="20" y="353"/>
              </a:lnTo>
              <a:lnTo>
                <a:pt x="21" y="360"/>
              </a:lnTo>
              <a:lnTo>
                <a:pt x="25" y="357"/>
              </a:lnTo>
              <a:lnTo>
                <a:pt x="24" y="352"/>
              </a:lnTo>
              <a:lnTo>
                <a:pt x="30" y="352"/>
              </a:lnTo>
              <a:lnTo>
                <a:pt x="34" y="349"/>
              </a:lnTo>
              <a:lnTo>
                <a:pt x="46" y="354"/>
              </a:lnTo>
              <a:lnTo>
                <a:pt x="50" y="360"/>
              </a:lnTo>
              <a:lnTo>
                <a:pt x="53" y="354"/>
              </a:lnTo>
              <a:lnTo>
                <a:pt x="53" y="352"/>
              </a:lnTo>
              <a:lnTo>
                <a:pt x="56" y="346"/>
              </a:lnTo>
              <a:lnTo>
                <a:pt x="60" y="345"/>
              </a:lnTo>
              <a:lnTo>
                <a:pt x="63" y="340"/>
              </a:lnTo>
              <a:lnTo>
                <a:pt x="66" y="346"/>
              </a:lnTo>
              <a:lnTo>
                <a:pt x="70" y="348"/>
              </a:lnTo>
              <a:lnTo>
                <a:pt x="75" y="350"/>
              </a:lnTo>
              <a:lnTo>
                <a:pt x="75" y="345"/>
              </a:lnTo>
              <a:lnTo>
                <a:pt x="79" y="340"/>
              </a:lnTo>
              <a:lnTo>
                <a:pt x="78" y="334"/>
              </a:lnTo>
              <a:lnTo>
                <a:pt x="81" y="329"/>
              </a:lnTo>
              <a:lnTo>
                <a:pt x="86" y="325"/>
              </a:lnTo>
              <a:lnTo>
                <a:pt x="84" y="320"/>
              </a:lnTo>
              <a:lnTo>
                <a:pt x="88" y="322"/>
              </a:lnTo>
              <a:lnTo>
                <a:pt x="91" y="330"/>
              </a:lnTo>
              <a:lnTo>
                <a:pt x="95" y="333"/>
              </a:lnTo>
              <a:lnTo>
                <a:pt x="104" y="334"/>
              </a:lnTo>
              <a:lnTo>
                <a:pt x="108" y="330"/>
              </a:lnTo>
              <a:lnTo>
                <a:pt x="109" y="325"/>
              </a:lnTo>
              <a:lnTo>
                <a:pt x="108" y="318"/>
              </a:lnTo>
              <a:lnTo>
                <a:pt x="111" y="308"/>
              </a:lnTo>
              <a:lnTo>
                <a:pt x="115" y="308"/>
              </a:lnTo>
              <a:lnTo>
                <a:pt x="119" y="304"/>
              </a:lnTo>
              <a:lnTo>
                <a:pt x="121" y="292"/>
              </a:lnTo>
              <a:lnTo>
                <a:pt x="125" y="289"/>
              </a:lnTo>
              <a:lnTo>
                <a:pt x="128" y="284"/>
              </a:lnTo>
              <a:lnTo>
                <a:pt x="129" y="278"/>
              </a:lnTo>
              <a:lnTo>
                <a:pt x="128" y="272"/>
              </a:lnTo>
              <a:lnTo>
                <a:pt x="127" y="266"/>
              </a:lnTo>
              <a:lnTo>
                <a:pt x="131" y="265"/>
              </a:lnTo>
              <a:lnTo>
                <a:pt x="135" y="264"/>
              </a:lnTo>
              <a:lnTo>
                <a:pt x="140" y="268"/>
              </a:lnTo>
              <a:lnTo>
                <a:pt x="148" y="258"/>
              </a:lnTo>
              <a:lnTo>
                <a:pt x="157" y="256"/>
              </a:lnTo>
              <a:lnTo>
                <a:pt x="158" y="250"/>
              </a:lnTo>
              <a:lnTo>
                <a:pt x="154" y="245"/>
              </a:lnTo>
              <a:lnTo>
                <a:pt x="155" y="240"/>
              </a:lnTo>
              <a:lnTo>
                <a:pt x="152" y="232"/>
              </a:lnTo>
              <a:lnTo>
                <a:pt x="154" y="229"/>
              </a:lnTo>
              <a:lnTo>
                <a:pt x="142" y="85"/>
              </a:lnTo>
              <a:lnTo>
                <a:pt x="134" y="5"/>
              </a:lnTo>
              <a:lnTo>
                <a:pt x="130" y="0"/>
              </a:lnTo>
              <a:lnTo>
                <a:pt x="62" y="12"/>
              </a:lnTo>
              <a:lnTo>
                <a:pt x="39" y="15"/>
              </a:lnTo>
              <a:lnTo>
                <a:pt x="37" y="15"/>
              </a:lnTo>
              <a:lnTo>
                <a:pt x="28" y="23"/>
              </a:lnTo>
              <a:lnTo>
                <a:pt x="20" y="28"/>
              </a:lnTo>
              <a:lnTo>
                <a:pt x="16" y="31"/>
              </a:lnTo>
              <a:lnTo>
                <a:pt x="10" y="28"/>
              </a:lnTo>
              <a:lnTo>
                <a:pt x="5" y="23"/>
              </a:lnTo>
              <a:lnTo>
                <a:pt x="5" y="25"/>
              </a:lnTo>
              <a:lnTo>
                <a:pt x="19" y="226"/>
              </a:lnTo>
              <a:lnTo>
                <a:pt x="15" y="233"/>
              </a:lnTo>
              <a:lnTo>
                <a:pt x="17" y="238"/>
              </a:lnTo>
              <a:lnTo>
                <a:pt x="14" y="244"/>
              </a:lnTo>
              <a:lnTo>
                <a:pt x="15" y="250"/>
              </a:lnTo>
              <a:lnTo>
                <a:pt x="18" y="257"/>
              </a:lnTo>
              <a:lnTo>
                <a:pt x="22" y="262"/>
              </a:lnTo>
              <a:lnTo>
                <a:pt x="21" y="268"/>
              </a:lnTo>
              <a:lnTo>
                <a:pt x="24" y="278"/>
              </a:lnTo>
              <a:lnTo>
                <a:pt x="23" y="285"/>
              </a:lnTo>
              <a:lnTo>
                <a:pt x="22" y="286"/>
              </a:lnTo>
              <a:lnTo>
                <a:pt x="17" y="297"/>
              </a:lnTo>
              <a:lnTo>
                <a:pt x="17" y="302"/>
              </a:lnTo>
              <a:lnTo>
                <a:pt x="12" y="314"/>
              </a:lnTo>
              <a:lnTo>
                <a:pt x="8" y="320"/>
              </a:lnTo>
              <a:lnTo>
                <a:pt x="5" y="324"/>
              </a:lnTo>
              <a:lnTo>
                <a:pt x="4" y="330"/>
              </a:lnTo>
              <a:lnTo>
                <a:pt x="5" y="332"/>
              </a:lnTo>
              <a:lnTo>
                <a:pt x="3" y="342"/>
              </a:lnTo>
              <a:lnTo>
                <a:pt x="3" y="342"/>
              </a:lnTo>
              <a:lnTo>
                <a:pt x="2" y="353"/>
              </a:lnTo>
              <a:lnTo>
                <a:pt x="0" y="358"/>
              </a:lnTo>
              <a:lnTo>
                <a:pt x="3" y="365"/>
              </a:lnTo>
              <a:lnTo>
                <a:pt x="3" y="365"/>
              </a:lnTo>
              <a:lnTo>
                <a:pt x="3" y="365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9A3C8197-EB1A-4CE3-92F8-4D74D7E8067B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IN
5954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329101</xdr:colOff>
      <xdr:row>20</xdr:row>
      <xdr:rowOff>30718</xdr:rowOff>
    </xdr:from>
    <xdr:to>
      <xdr:col>9</xdr:col>
      <xdr:colOff>166061</xdr:colOff>
      <xdr:row>24</xdr:row>
      <xdr:rowOff>110273</xdr:rowOff>
    </xdr:to>
    <xdr:sp macro="" textlink="data!E36">
      <xdr:nvSpPr>
        <xdr:cNvPr id="212" name="MS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>
          <a:spLocks/>
        </xdr:cNvSpPr>
      </xdr:nvSpPr>
      <xdr:spPr bwMode="auto">
        <a:xfrm>
          <a:off x="5554244" y="3187575"/>
          <a:ext cx="490103" cy="710927"/>
        </a:xfrm>
        <a:custGeom>
          <a:avLst/>
          <a:gdLst>
            <a:gd name="T0" fmla="*/ 2 w 199"/>
            <a:gd name="T1" fmla="*/ 22 h 429"/>
            <a:gd name="T2" fmla="*/ 3 w 199"/>
            <a:gd name="T3" fmla="*/ 288 h 429"/>
            <a:gd name="T4" fmla="*/ 16 w 199"/>
            <a:gd name="T5" fmla="*/ 418 h 429"/>
            <a:gd name="T6" fmla="*/ 28 w 199"/>
            <a:gd name="T7" fmla="*/ 418 h 429"/>
            <a:gd name="T8" fmla="*/ 33 w 199"/>
            <a:gd name="T9" fmla="*/ 400 h 429"/>
            <a:gd name="T10" fmla="*/ 35 w 199"/>
            <a:gd name="T11" fmla="*/ 389 h 429"/>
            <a:gd name="T12" fmla="*/ 37 w 199"/>
            <a:gd name="T13" fmla="*/ 390 h 429"/>
            <a:gd name="T14" fmla="*/ 42 w 199"/>
            <a:gd name="T15" fmla="*/ 396 h 429"/>
            <a:gd name="T16" fmla="*/ 41 w 199"/>
            <a:gd name="T17" fmla="*/ 406 h 429"/>
            <a:gd name="T18" fmla="*/ 47 w 199"/>
            <a:gd name="T19" fmla="*/ 416 h 429"/>
            <a:gd name="T20" fmla="*/ 51 w 199"/>
            <a:gd name="T21" fmla="*/ 420 h 429"/>
            <a:gd name="T22" fmla="*/ 46 w 199"/>
            <a:gd name="T23" fmla="*/ 428 h 429"/>
            <a:gd name="T24" fmla="*/ 39 w 199"/>
            <a:gd name="T25" fmla="*/ 429 h 429"/>
            <a:gd name="T26" fmla="*/ 60 w 199"/>
            <a:gd name="T27" fmla="*/ 424 h 429"/>
            <a:gd name="T28" fmla="*/ 60 w 199"/>
            <a:gd name="T29" fmla="*/ 417 h 429"/>
            <a:gd name="T30" fmla="*/ 69 w 199"/>
            <a:gd name="T31" fmla="*/ 413 h 429"/>
            <a:gd name="T32" fmla="*/ 69 w 199"/>
            <a:gd name="T33" fmla="*/ 400 h 429"/>
            <a:gd name="T34" fmla="*/ 70 w 199"/>
            <a:gd name="T35" fmla="*/ 389 h 429"/>
            <a:gd name="T36" fmla="*/ 62 w 199"/>
            <a:gd name="T37" fmla="*/ 382 h 429"/>
            <a:gd name="T38" fmla="*/ 57 w 199"/>
            <a:gd name="T39" fmla="*/ 364 h 429"/>
            <a:gd name="T40" fmla="*/ 112 w 199"/>
            <a:gd name="T41" fmla="*/ 353 h 429"/>
            <a:gd name="T42" fmla="*/ 199 w 199"/>
            <a:gd name="T43" fmla="*/ 336 h 429"/>
            <a:gd name="T44" fmla="*/ 192 w 199"/>
            <a:gd name="T45" fmla="*/ 322 h 429"/>
            <a:gd name="T46" fmla="*/ 192 w 199"/>
            <a:gd name="T47" fmla="*/ 304 h 429"/>
            <a:gd name="T48" fmla="*/ 193 w 199"/>
            <a:gd name="T49" fmla="*/ 293 h 429"/>
            <a:gd name="T50" fmla="*/ 188 w 199"/>
            <a:gd name="T51" fmla="*/ 280 h 429"/>
            <a:gd name="T52" fmla="*/ 186 w 199"/>
            <a:gd name="T53" fmla="*/ 258 h 429"/>
            <a:gd name="T54" fmla="*/ 187 w 199"/>
            <a:gd name="T55" fmla="*/ 242 h 429"/>
            <a:gd name="T56" fmla="*/ 194 w 199"/>
            <a:gd name="T57" fmla="*/ 232 h 429"/>
            <a:gd name="T58" fmla="*/ 189 w 199"/>
            <a:gd name="T59" fmla="*/ 225 h 429"/>
            <a:gd name="T60" fmla="*/ 188 w 199"/>
            <a:gd name="T61" fmla="*/ 209 h 429"/>
            <a:gd name="T62" fmla="*/ 182 w 199"/>
            <a:gd name="T63" fmla="*/ 201 h 429"/>
            <a:gd name="T64" fmla="*/ 176 w 199"/>
            <a:gd name="T65" fmla="*/ 185 h 429"/>
            <a:gd name="T66" fmla="*/ 173 w 199"/>
            <a:gd name="T67" fmla="*/ 176 h 429"/>
            <a:gd name="T68" fmla="*/ 134 w 199"/>
            <a:gd name="T69" fmla="*/ 0 h 429"/>
            <a:gd name="T70" fmla="*/ 0 w 199"/>
            <a:gd name="T71" fmla="*/ 17 h 429"/>
            <a:gd name="T72" fmla="*/ 0 w 199"/>
            <a:gd name="T73" fmla="*/ 20 h 42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</a:cxnLst>
          <a:rect l="0" t="0" r="r" b="b"/>
          <a:pathLst>
            <a:path w="199" h="429">
              <a:moveTo>
                <a:pt x="0" y="20"/>
              </a:moveTo>
              <a:lnTo>
                <a:pt x="2" y="22"/>
              </a:lnTo>
              <a:lnTo>
                <a:pt x="6" y="26"/>
              </a:lnTo>
              <a:lnTo>
                <a:pt x="3" y="288"/>
              </a:lnTo>
              <a:lnTo>
                <a:pt x="16" y="416"/>
              </a:lnTo>
              <a:lnTo>
                <a:pt x="16" y="418"/>
              </a:lnTo>
              <a:lnTo>
                <a:pt x="20" y="417"/>
              </a:lnTo>
              <a:lnTo>
                <a:pt x="28" y="418"/>
              </a:lnTo>
              <a:lnTo>
                <a:pt x="32" y="418"/>
              </a:lnTo>
              <a:lnTo>
                <a:pt x="33" y="400"/>
              </a:lnTo>
              <a:lnTo>
                <a:pt x="34" y="393"/>
              </a:lnTo>
              <a:lnTo>
                <a:pt x="35" y="389"/>
              </a:lnTo>
              <a:lnTo>
                <a:pt x="35" y="386"/>
              </a:lnTo>
              <a:lnTo>
                <a:pt x="37" y="390"/>
              </a:lnTo>
              <a:lnTo>
                <a:pt x="39" y="390"/>
              </a:lnTo>
              <a:lnTo>
                <a:pt x="42" y="396"/>
              </a:lnTo>
              <a:lnTo>
                <a:pt x="42" y="401"/>
              </a:lnTo>
              <a:lnTo>
                <a:pt x="41" y="406"/>
              </a:lnTo>
              <a:lnTo>
                <a:pt x="43" y="412"/>
              </a:lnTo>
              <a:lnTo>
                <a:pt x="47" y="416"/>
              </a:lnTo>
              <a:lnTo>
                <a:pt x="48" y="414"/>
              </a:lnTo>
              <a:lnTo>
                <a:pt x="51" y="420"/>
              </a:lnTo>
              <a:lnTo>
                <a:pt x="50" y="425"/>
              </a:lnTo>
              <a:lnTo>
                <a:pt x="46" y="428"/>
              </a:lnTo>
              <a:lnTo>
                <a:pt x="42" y="426"/>
              </a:lnTo>
              <a:lnTo>
                <a:pt x="39" y="429"/>
              </a:lnTo>
              <a:lnTo>
                <a:pt x="55" y="426"/>
              </a:lnTo>
              <a:lnTo>
                <a:pt x="60" y="424"/>
              </a:lnTo>
              <a:lnTo>
                <a:pt x="61" y="418"/>
              </a:lnTo>
              <a:lnTo>
                <a:pt x="60" y="417"/>
              </a:lnTo>
              <a:lnTo>
                <a:pt x="65" y="418"/>
              </a:lnTo>
              <a:lnTo>
                <a:pt x="69" y="413"/>
              </a:lnTo>
              <a:lnTo>
                <a:pt x="70" y="402"/>
              </a:lnTo>
              <a:lnTo>
                <a:pt x="69" y="400"/>
              </a:lnTo>
              <a:lnTo>
                <a:pt x="68" y="397"/>
              </a:lnTo>
              <a:lnTo>
                <a:pt x="70" y="389"/>
              </a:lnTo>
              <a:lnTo>
                <a:pt x="66" y="385"/>
              </a:lnTo>
              <a:lnTo>
                <a:pt x="62" y="382"/>
              </a:lnTo>
              <a:lnTo>
                <a:pt x="56" y="370"/>
              </a:lnTo>
              <a:lnTo>
                <a:pt x="57" y="364"/>
              </a:lnTo>
              <a:lnTo>
                <a:pt x="61" y="360"/>
              </a:lnTo>
              <a:lnTo>
                <a:pt x="112" y="353"/>
              </a:lnTo>
              <a:lnTo>
                <a:pt x="199" y="338"/>
              </a:lnTo>
              <a:lnTo>
                <a:pt x="199" y="336"/>
              </a:lnTo>
              <a:lnTo>
                <a:pt x="195" y="328"/>
              </a:lnTo>
              <a:lnTo>
                <a:pt x="192" y="322"/>
              </a:lnTo>
              <a:lnTo>
                <a:pt x="191" y="316"/>
              </a:lnTo>
              <a:lnTo>
                <a:pt x="192" y="304"/>
              </a:lnTo>
              <a:lnTo>
                <a:pt x="192" y="298"/>
              </a:lnTo>
              <a:lnTo>
                <a:pt x="193" y="293"/>
              </a:lnTo>
              <a:lnTo>
                <a:pt x="191" y="285"/>
              </a:lnTo>
              <a:lnTo>
                <a:pt x="188" y="280"/>
              </a:lnTo>
              <a:lnTo>
                <a:pt x="185" y="269"/>
              </a:lnTo>
              <a:lnTo>
                <a:pt x="186" y="258"/>
              </a:lnTo>
              <a:lnTo>
                <a:pt x="188" y="253"/>
              </a:lnTo>
              <a:lnTo>
                <a:pt x="187" y="242"/>
              </a:lnTo>
              <a:lnTo>
                <a:pt x="190" y="237"/>
              </a:lnTo>
              <a:lnTo>
                <a:pt x="194" y="232"/>
              </a:lnTo>
              <a:lnTo>
                <a:pt x="193" y="228"/>
              </a:lnTo>
              <a:lnTo>
                <a:pt x="189" y="225"/>
              </a:lnTo>
              <a:lnTo>
                <a:pt x="190" y="216"/>
              </a:lnTo>
              <a:lnTo>
                <a:pt x="188" y="209"/>
              </a:lnTo>
              <a:lnTo>
                <a:pt x="187" y="208"/>
              </a:lnTo>
              <a:lnTo>
                <a:pt x="182" y="201"/>
              </a:lnTo>
              <a:lnTo>
                <a:pt x="179" y="190"/>
              </a:lnTo>
              <a:lnTo>
                <a:pt x="176" y="185"/>
              </a:lnTo>
              <a:lnTo>
                <a:pt x="175" y="178"/>
              </a:lnTo>
              <a:lnTo>
                <a:pt x="173" y="176"/>
              </a:lnTo>
              <a:lnTo>
                <a:pt x="154" y="82"/>
              </a:lnTo>
              <a:lnTo>
                <a:pt x="134" y="0"/>
              </a:lnTo>
              <a:lnTo>
                <a:pt x="76" y="9"/>
              </a:lnTo>
              <a:lnTo>
                <a:pt x="0" y="17"/>
              </a:lnTo>
              <a:lnTo>
                <a:pt x="0" y="20"/>
              </a:lnTo>
              <a:lnTo>
                <a:pt x="0" y="20"/>
              </a:lnTo>
              <a:lnTo>
                <a:pt x="0" y="20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AC9B2362-9C19-4476-8B3F-73F4F0F31238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MS
5791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478462</xdr:colOff>
      <xdr:row>23</xdr:row>
      <xdr:rowOff>83878</xdr:rowOff>
    </xdr:from>
    <xdr:to>
      <xdr:col>10</xdr:col>
      <xdr:colOff>279971</xdr:colOff>
      <xdr:row>28</xdr:row>
      <xdr:rowOff>69556</xdr:rowOff>
    </xdr:to>
    <xdr:sp macro="" textlink="data!E20">
      <xdr:nvSpPr>
        <xdr:cNvPr id="216" name="FL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SpPr>
          <a:spLocks/>
        </xdr:cNvSpPr>
      </xdr:nvSpPr>
      <xdr:spPr bwMode="auto">
        <a:xfrm>
          <a:off x="5703605" y="3714264"/>
          <a:ext cx="1107795" cy="774892"/>
        </a:xfrm>
        <a:custGeom>
          <a:avLst/>
          <a:gdLst>
            <a:gd name="T0" fmla="*/ 12 w 467"/>
            <a:gd name="T1" fmla="*/ 97 h 473"/>
            <a:gd name="T2" fmla="*/ 29 w 467"/>
            <a:gd name="T3" fmla="*/ 79 h 473"/>
            <a:gd name="T4" fmla="*/ 34 w 467"/>
            <a:gd name="T5" fmla="*/ 76 h 473"/>
            <a:gd name="T6" fmla="*/ 31 w 467"/>
            <a:gd name="T7" fmla="*/ 87 h 473"/>
            <a:gd name="T8" fmla="*/ 60 w 467"/>
            <a:gd name="T9" fmla="*/ 81 h 473"/>
            <a:gd name="T10" fmla="*/ 85 w 467"/>
            <a:gd name="T11" fmla="*/ 76 h 473"/>
            <a:gd name="T12" fmla="*/ 74 w 467"/>
            <a:gd name="T13" fmla="*/ 81 h 473"/>
            <a:gd name="T14" fmla="*/ 101 w 467"/>
            <a:gd name="T15" fmla="*/ 92 h 473"/>
            <a:gd name="T16" fmla="*/ 107 w 467"/>
            <a:gd name="T17" fmla="*/ 84 h 473"/>
            <a:gd name="T18" fmla="*/ 111 w 467"/>
            <a:gd name="T19" fmla="*/ 92 h 473"/>
            <a:gd name="T20" fmla="*/ 126 w 467"/>
            <a:gd name="T21" fmla="*/ 105 h 473"/>
            <a:gd name="T22" fmla="*/ 123 w 467"/>
            <a:gd name="T23" fmla="*/ 108 h 473"/>
            <a:gd name="T24" fmla="*/ 136 w 467"/>
            <a:gd name="T25" fmla="*/ 124 h 473"/>
            <a:gd name="T26" fmla="*/ 130 w 467"/>
            <a:gd name="T27" fmla="*/ 125 h 473"/>
            <a:gd name="T28" fmla="*/ 150 w 467"/>
            <a:gd name="T29" fmla="*/ 128 h 473"/>
            <a:gd name="T30" fmla="*/ 164 w 467"/>
            <a:gd name="T31" fmla="*/ 121 h 473"/>
            <a:gd name="T32" fmla="*/ 186 w 467"/>
            <a:gd name="T33" fmla="*/ 101 h 473"/>
            <a:gd name="T34" fmla="*/ 191 w 467"/>
            <a:gd name="T35" fmla="*/ 88 h 473"/>
            <a:gd name="T36" fmla="*/ 219 w 467"/>
            <a:gd name="T37" fmla="*/ 92 h 473"/>
            <a:gd name="T38" fmla="*/ 245 w 467"/>
            <a:gd name="T39" fmla="*/ 127 h 473"/>
            <a:gd name="T40" fmla="*/ 271 w 467"/>
            <a:gd name="T41" fmla="*/ 153 h 473"/>
            <a:gd name="T42" fmla="*/ 293 w 467"/>
            <a:gd name="T43" fmla="*/ 173 h 473"/>
            <a:gd name="T44" fmla="*/ 296 w 467"/>
            <a:gd name="T45" fmla="*/ 211 h 473"/>
            <a:gd name="T46" fmla="*/ 293 w 467"/>
            <a:gd name="T47" fmla="*/ 269 h 473"/>
            <a:gd name="T48" fmla="*/ 304 w 467"/>
            <a:gd name="T49" fmla="*/ 270 h 473"/>
            <a:gd name="T50" fmla="*/ 298 w 467"/>
            <a:gd name="T51" fmla="*/ 248 h 473"/>
            <a:gd name="T52" fmla="*/ 316 w 467"/>
            <a:gd name="T53" fmla="*/ 258 h 473"/>
            <a:gd name="T54" fmla="*/ 304 w 467"/>
            <a:gd name="T55" fmla="*/ 294 h 473"/>
            <a:gd name="T56" fmla="*/ 313 w 467"/>
            <a:gd name="T57" fmla="*/ 308 h 473"/>
            <a:gd name="T58" fmla="*/ 339 w 467"/>
            <a:gd name="T59" fmla="*/ 344 h 473"/>
            <a:gd name="T60" fmla="*/ 338 w 467"/>
            <a:gd name="T61" fmla="*/ 330 h 473"/>
            <a:gd name="T62" fmla="*/ 346 w 467"/>
            <a:gd name="T63" fmla="*/ 340 h 473"/>
            <a:gd name="T64" fmla="*/ 352 w 467"/>
            <a:gd name="T65" fmla="*/ 365 h 473"/>
            <a:gd name="T66" fmla="*/ 357 w 467"/>
            <a:gd name="T67" fmla="*/ 362 h 473"/>
            <a:gd name="T68" fmla="*/ 367 w 467"/>
            <a:gd name="T69" fmla="*/ 397 h 473"/>
            <a:gd name="T70" fmla="*/ 381 w 467"/>
            <a:gd name="T71" fmla="*/ 412 h 473"/>
            <a:gd name="T72" fmla="*/ 401 w 467"/>
            <a:gd name="T73" fmla="*/ 428 h 473"/>
            <a:gd name="T74" fmla="*/ 424 w 467"/>
            <a:gd name="T75" fmla="*/ 454 h 473"/>
            <a:gd name="T76" fmla="*/ 413 w 467"/>
            <a:gd name="T77" fmla="*/ 462 h 473"/>
            <a:gd name="T78" fmla="*/ 436 w 467"/>
            <a:gd name="T79" fmla="*/ 466 h 473"/>
            <a:gd name="T80" fmla="*/ 456 w 467"/>
            <a:gd name="T81" fmla="*/ 458 h 473"/>
            <a:gd name="T82" fmla="*/ 462 w 467"/>
            <a:gd name="T83" fmla="*/ 442 h 473"/>
            <a:gd name="T84" fmla="*/ 462 w 467"/>
            <a:gd name="T85" fmla="*/ 412 h 473"/>
            <a:gd name="T86" fmla="*/ 467 w 467"/>
            <a:gd name="T87" fmla="*/ 396 h 473"/>
            <a:gd name="T88" fmla="*/ 464 w 467"/>
            <a:gd name="T89" fmla="*/ 330 h 473"/>
            <a:gd name="T90" fmla="*/ 446 w 467"/>
            <a:gd name="T91" fmla="*/ 288 h 473"/>
            <a:gd name="T92" fmla="*/ 433 w 467"/>
            <a:gd name="T93" fmla="*/ 252 h 473"/>
            <a:gd name="T94" fmla="*/ 395 w 467"/>
            <a:gd name="T95" fmla="*/ 161 h 473"/>
            <a:gd name="T96" fmla="*/ 408 w 467"/>
            <a:gd name="T97" fmla="*/ 173 h 473"/>
            <a:gd name="T98" fmla="*/ 422 w 467"/>
            <a:gd name="T99" fmla="*/ 228 h 473"/>
            <a:gd name="T100" fmla="*/ 412 w 467"/>
            <a:gd name="T101" fmla="*/ 191 h 473"/>
            <a:gd name="T102" fmla="*/ 380 w 467"/>
            <a:gd name="T103" fmla="*/ 124 h 473"/>
            <a:gd name="T104" fmla="*/ 348 w 467"/>
            <a:gd name="T105" fmla="*/ 41 h 473"/>
            <a:gd name="T106" fmla="*/ 341 w 467"/>
            <a:gd name="T107" fmla="*/ 19 h 473"/>
            <a:gd name="T108" fmla="*/ 329 w 467"/>
            <a:gd name="T109" fmla="*/ 5 h 473"/>
            <a:gd name="T110" fmla="*/ 308 w 467"/>
            <a:gd name="T111" fmla="*/ 11 h 473"/>
            <a:gd name="T112" fmla="*/ 307 w 467"/>
            <a:gd name="T113" fmla="*/ 43 h 473"/>
            <a:gd name="T114" fmla="*/ 150 w 467"/>
            <a:gd name="T115" fmla="*/ 35 h 473"/>
            <a:gd name="T116" fmla="*/ 1 w 467"/>
            <a:gd name="T117" fmla="*/ 43 h 473"/>
            <a:gd name="T118" fmla="*/ 12 w 467"/>
            <a:gd name="T119" fmla="*/ 76 h 47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467" h="473">
              <a:moveTo>
                <a:pt x="14" y="81"/>
              </a:moveTo>
              <a:lnTo>
                <a:pt x="18" y="84"/>
              </a:lnTo>
              <a:lnTo>
                <a:pt x="18" y="87"/>
              </a:lnTo>
              <a:lnTo>
                <a:pt x="14" y="92"/>
              </a:lnTo>
              <a:lnTo>
                <a:pt x="12" y="97"/>
              </a:lnTo>
              <a:lnTo>
                <a:pt x="15" y="97"/>
              </a:lnTo>
              <a:lnTo>
                <a:pt x="19" y="96"/>
              </a:lnTo>
              <a:lnTo>
                <a:pt x="23" y="92"/>
              </a:lnTo>
              <a:lnTo>
                <a:pt x="27" y="85"/>
              </a:lnTo>
              <a:lnTo>
                <a:pt x="29" y="79"/>
              </a:lnTo>
              <a:lnTo>
                <a:pt x="28" y="77"/>
              </a:lnTo>
              <a:lnTo>
                <a:pt x="27" y="76"/>
              </a:lnTo>
              <a:lnTo>
                <a:pt x="30" y="73"/>
              </a:lnTo>
              <a:lnTo>
                <a:pt x="32" y="81"/>
              </a:lnTo>
              <a:lnTo>
                <a:pt x="34" y="76"/>
              </a:lnTo>
              <a:lnTo>
                <a:pt x="36" y="69"/>
              </a:lnTo>
              <a:lnTo>
                <a:pt x="37" y="75"/>
              </a:lnTo>
              <a:lnTo>
                <a:pt x="41" y="80"/>
              </a:lnTo>
              <a:lnTo>
                <a:pt x="38" y="85"/>
              </a:lnTo>
              <a:lnTo>
                <a:pt x="31" y="87"/>
              </a:lnTo>
              <a:lnTo>
                <a:pt x="30" y="88"/>
              </a:lnTo>
              <a:lnTo>
                <a:pt x="35" y="88"/>
              </a:lnTo>
              <a:lnTo>
                <a:pt x="47" y="84"/>
              </a:lnTo>
              <a:lnTo>
                <a:pt x="58" y="81"/>
              </a:lnTo>
              <a:lnTo>
                <a:pt x="60" y="81"/>
              </a:lnTo>
              <a:lnTo>
                <a:pt x="68" y="71"/>
              </a:lnTo>
              <a:lnTo>
                <a:pt x="70" y="76"/>
              </a:lnTo>
              <a:lnTo>
                <a:pt x="74" y="73"/>
              </a:lnTo>
              <a:lnTo>
                <a:pt x="78" y="72"/>
              </a:lnTo>
              <a:lnTo>
                <a:pt x="85" y="76"/>
              </a:lnTo>
              <a:lnTo>
                <a:pt x="87" y="81"/>
              </a:lnTo>
              <a:lnTo>
                <a:pt x="84" y="80"/>
              </a:lnTo>
              <a:lnTo>
                <a:pt x="79" y="77"/>
              </a:lnTo>
              <a:lnTo>
                <a:pt x="75" y="79"/>
              </a:lnTo>
              <a:lnTo>
                <a:pt x="74" y="81"/>
              </a:lnTo>
              <a:lnTo>
                <a:pt x="66" y="81"/>
              </a:lnTo>
              <a:lnTo>
                <a:pt x="70" y="83"/>
              </a:lnTo>
              <a:lnTo>
                <a:pt x="74" y="83"/>
              </a:lnTo>
              <a:lnTo>
                <a:pt x="91" y="87"/>
              </a:lnTo>
              <a:lnTo>
                <a:pt x="101" y="92"/>
              </a:lnTo>
              <a:lnTo>
                <a:pt x="110" y="99"/>
              </a:lnTo>
              <a:lnTo>
                <a:pt x="109" y="93"/>
              </a:lnTo>
              <a:lnTo>
                <a:pt x="105" y="89"/>
              </a:lnTo>
              <a:lnTo>
                <a:pt x="103" y="85"/>
              </a:lnTo>
              <a:lnTo>
                <a:pt x="107" y="84"/>
              </a:lnTo>
              <a:lnTo>
                <a:pt x="111" y="87"/>
              </a:lnTo>
              <a:lnTo>
                <a:pt x="117" y="81"/>
              </a:lnTo>
              <a:lnTo>
                <a:pt x="116" y="87"/>
              </a:lnTo>
              <a:lnTo>
                <a:pt x="113" y="88"/>
              </a:lnTo>
              <a:lnTo>
                <a:pt x="111" y="92"/>
              </a:lnTo>
              <a:lnTo>
                <a:pt x="117" y="97"/>
              </a:lnTo>
              <a:lnTo>
                <a:pt x="121" y="97"/>
              </a:lnTo>
              <a:lnTo>
                <a:pt x="124" y="103"/>
              </a:lnTo>
              <a:lnTo>
                <a:pt x="128" y="103"/>
              </a:lnTo>
              <a:lnTo>
                <a:pt x="126" y="105"/>
              </a:lnTo>
              <a:lnTo>
                <a:pt x="121" y="103"/>
              </a:lnTo>
              <a:lnTo>
                <a:pt x="113" y="97"/>
              </a:lnTo>
              <a:lnTo>
                <a:pt x="117" y="103"/>
              </a:lnTo>
              <a:lnTo>
                <a:pt x="121" y="105"/>
              </a:lnTo>
              <a:lnTo>
                <a:pt x="123" y="108"/>
              </a:lnTo>
              <a:lnTo>
                <a:pt x="121" y="108"/>
              </a:lnTo>
              <a:lnTo>
                <a:pt x="125" y="111"/>
              </a:lnTo>
              <a:lnTo>
                <a:pt x="129" y="113"/>
              </a:lnTo>
              <a:lnTo>
                <a:pt x="133" y="119"/>
              </a:lnTo>
              <a:lnTo>
                <a:pt x="136" y="124"/>
              </a:lnTo>
              <a:lnTo>
                <a:pt x="137" y="129"/>
              </a:lnTo>
              <a:lnTo>
                <a:pt x="133" y="131"/>
              </a:lnTo>
              <a:lnTo>
                <a:pt x="131" y="125"/>
              </a:lnTo>
              <a:lnTo>
                <a:pt x="131" y="120"/>
              </a:lnTo>
              <a:lnTo>
                <a:pt x="130" y="125"/>
              </a:lnTo>
              <a:lnTo>
                <a:pt x="132" y="131"/>
              </a:lnTo>
              <a:lnTo>
                <a:pt x="136" y="133"/>
              </a:lnTo>
              <a:lnTo>
                <a:pt x="140" y="132"/>
              </a:lnTo>
              <a:lnTo>
                <a:pt x="142" y="131"/>
              </a:lnTo>
              <a:lnTo>
                <a:pt x="150" y="128"/>
              </a:lnTo>
              <a:lnTo>
                <a:pt x="154" y="127"/>
              </a:lnTo>
              <a:lnTo>
                <a:pt x="155" y="124"/>
              </a:lnTo>
              <a:lnTo>
                <a:pt x="159" y="120"/>
              </a:lnTo>
              <a:lnTo>
                <a:pt x="160" y="123"/>
              </a:lnTo>
              <a:lnTo>
                <a:pt x="164" y="121"/>
              </a:lnTo>
              <a:lnTo>
                <a:pt x="176" y="108"/>
              </a:lnTo>
              <a:lnTo>
                <a:pt x="181" y="107"/>
              </a:lnTo>
              <a:lnTo>
                <a:pt x="184" y="105"/>
              </a:lnTo>
              <a:lnTo>
                <a:pt x="188" y="107"/>
              </a:lnTo>
              <a:lnTo>
                <a:pt x="186" y="101"/>
              </a:lnTo>
              <a:lnTo>
                <a:pt x="181" y="97"/>
              </a:lnTo>
              <a:lnTo>
                <a:pt x="187" y="100"/>
              </a:lnTo>
              <a:lnTo>
                <a:pt x="185" y="97"/>
              </a:lnTo>
              <a:lnTo>
                <a:pt x="187" y="92"/>
              </a:lnTo>
              <a:lnTo>
                <a:pt x="191" y="88"/>
              </a:lnTo>
              <a:lnTo>
                <a:pt x="199" y="87"/>
              </a:lnTo>
              <a:lnTo>
                <a:pt x="204" y="85"/>
              </a:lnTo>
              <a:lnTo>
                <a:pt x="206" y="85"/>
              </a:lnTo>
              <a:lnTo>
                <a:pt x="215" y="92"/>
              </a:lnTo>
              <a:lnTo>
                <a:pt x="219" y="92"/>
              </a:lnTo>
              <a:lnTo>
                <a:pt x="228" y="100"/>
              </a:lnTo>
              <a:lnTo>
                <a:pt x="233" y="111"/>
              </a:lnTo>
              <a:lnTo>
                <a:pt x="242" y="116"/>
              </a:lnTo>
              <a:lnTo>
                <a:pt x="244" y="121"/>
              </a:lnTo>
              <a:lnTo>
                <a:pt x="245" y="127"/>
              </a:lnTo>
              <a:lnTo>
                <a:pt x="257" y="137"/>
              </a:lnTo>
              <a:lnTo>
                <a:pt x="260" y="144"/>
              </a:lnTo>
              <a:lnTo>
                <a:pt x="264" y="147"/>
              </a:lnTo>
              <a:lnTo>
                <a:pt x="267" y="152"/>
              </a:lnTo>
              <a:lnTo>
                <a:pt x="271" y="153"/>
              </a:lnTo>
              <a:lnTo>
                <a:pt x="279" y="152"/>
              </a:lnTo>
              <a:lnTo>
                <a:pt x="285" y="160"/>
              </a:lnTo>
              <a:lnTo>
                <a:pt x="285" y="165"/>
              </a:lnTo>
              <a:lnTo>
                <a:pt x="289" y="171"/>
              </a:lnTo>
              <a:lnTo>
                <a:pt x="293" y="173"/>
              </a:lnTo>
              <a:lnTo>
                <a:pt x="293" y="179"/>
              </a:lnTo>
              <a:lnTo>
                <a:pt x="294" y="181"/>
              </a:lnTo>
              <a:lnTo>
                <a:pt x="295" y="199"/>
              </a:lnTo>
              <a:lnTo>
                <a:pt x="296" y="204"/>
              </a:lnTo>
              <a:lnTo>
                <a:pt x="296" y="211"/>
              </a:lnTo>
              <a:lnTo>
                <a:pt x="291" y="239"/>
              </a:lnTo>
              <a:lnTo>
                <a:pt x="292" y="242"/>
              </a:lnTo>
              <a:lnTo>
                <a:pt x="292" y="254"/>
              </a:lnTo>
              <a:lnTo>
                <a:pt x="290" y="262"/>
              </a:lnTo>
              <a:lnTo>
                <a:pt x="293" y="269"/>
              </a:lnTo>
              <a:lnTo>
                <a:pt x="298" y="274"/>
              </a:lnTo>
              <a:lnTo>
                <a:pt x="293" y="266"/>
              </a:lnTo>
              <a:lnTo>
                <a:pt x="301" y="273"/>
              </a:lnTo>
              <a:lnTo>
                <a:pt x="302" y="276"/>
              </a:lnTo>
              <a:lnTo>
                <a:pt x="304" y="270"/>
              </a:lnTo>
              <a:lnTo>
                <a:pt x="306" y="258"/>
              </a:lnTo>
              <a:lnTo>
                <a:pt x="302" y="258"/>
              </a:lnTo>
              <a:lnTo>
                <a:pt x="301" y="257"/>
              </a:lnTo>
              <a:lnTo>
                <a:pt x="301" y="252"/>
              </a:lnTo>
              <a:lnTo>
                <a:pt x="298" y="248"/>
              </a:lnTo>
              <a:lnTo>
                <a:pt x="298" y="246"/>
              </a:lnTo>
              <a:lnTo>
                <a:pt x="307" y="253"/>
              </a:lnTo>
              <a:lnTo>
                <a:pt x="308" y="258"/>
              </a:lnTo>
              <a:lnTo>
                <a:pt x="312" y="253"/>
              </a:lnTo>
              <a:lnTo>
                <a:pt x="316" y="258"/>
              </a:lnTo>
              <a:lnTo>
                <a:pt x="317" y="262"/>
              </a:lnTo>
              <a:lnTo>
                <a:pt x="310" y="280"/>
              </a:lnTo>
              <a:lnTo>
                <a:pt x="308" y="289"/>
              </a:lnTo>
              <a:lnTo>
                <a:pt x="304" y="290"/>
              </a:lnTo>
              <a:lnTo>
                <a:pt x="304" y="294"/>
              </a:lnTo>
              <a:lnTo>
                <a:pt x="300" y="290"/>
              </a:lnTo>
              <a:lnTo>
                <a:pt x="303" y="296"/>
              </a:lnTo>
              <a:lnTo>
                <a:pt x="311" y="301"/>
              </a:lnTo>
              <a:lnTo>
                <a:pt x="314" y="306"/>
              </a:lnTo>
              <a:lnTo>
                <a:pt x="313" y="308"/>
              </a:lnTo>
              <a:lnTo>
                <a:pt x="322" y="328"/>
              </a:lnTo>
              <a:lnTo>
                <a:pt x="325" y="333"/>
              </a:lnTo>
              <a:lnTo>
                <a:pt x="331" y="342"/>
              </a:lnTo>
              <a:lnTo>
                <a:pt x="335" y="344"/>
              </a:lnTo>
              <a:lnTo>
                <a:pt x="339" y="344"/>
              </a:lnTo>
              <a:lnTo>
                <a:pt x="341" y="345"/>
              </a:lnTo>
              <a:lnTo>
                <a:pt x="340" y="340"/>
              </a:lnTo>
              <a:lnTo>
                <a:pt x="337" y="334"/>
              </a:lnTo>
              <a:lnTo>
                <a:pt x="333" y="330"/>
              </a:lnTo>
              <a:lnTo>
                <a:pt x="338" y="330"/>
              </a:lnTo>
              <a:lnTo>
                <a:pt x="340" y="334"/>
              </a:lnTo>
              <a:lnTo>
                <a:pt x="347" y="329"/>
              </a:lnTo>
              <a:lnTo>
                <a:pt x="348" y="330"/>
              </a:lnTo>
              <a:lnTo>
                <a:pt x="344" y="334"/>
              </a:lnTo>
              <a:lnTo>
                <a:pt x="346" y="340"/>
              </a:lnTo>
              <a:lnTo>
                <a:pt x="346" y="350"/>
              </a:lnTo>
              <a:lnTo>
                <a:pt x="347" y="357"/>
              </a:lnTo>
              <a:lnTo>
                <a:pt x="349" y="362"/>
              </a:lnTo>
              <a:lnTo>
                <a:pt x="348" y="365"/>
              </a:lnTo>
              <a:lnTo>
                <a:pt x="352" y="365"/>
              </a:lnTo>
              <a:lnTo>
                <a:pt x="356" y="360"/>
              </a:lnTo>
              <a:lnTo>
                <a:pt x="357" y="354"/>
              </a:lnTo>
              <a:lnTo>
                <a:pt x="363" y="348"/>
              </a:lnTo>
              <a:lnTo>
                <a:pt x="358" y="356"/>
              </a:lnTo>
              <a:lnTo>
                <a:pt x="357" y="362"/>
              </a:lnTo>
              <a:lnTo>
                <a:pt x="354" y="368"/>
              </a:lnTo>
              <a:lnTo>
                <a:pt x="355" y="370"/>
              </a:lnTo>
              <a:lnTo>
                <a:pt x="359" y="372"/>
              </a:lnTo>
              <a:lnTo>
                <a:pt x="363" y="377"/>
              </a:lnTo>
              <a:lnTo>
                <a:pt x="367" y="397"/>
              </a:lnTo>
              <a:lnTo>
                <a:pt x="374" y="409"/>
              </a:lnTo>
              <a:lnTo>
                <a:pt x="377" y="409"/>
              </a:lnTo>
              <a:lnTo>
                <a:pt x="373" y="410"/>
              </a:lnTo>
              <a:lnTo>
                <a:pt x="377" y="414"/>
              </a:lnTo>
              <a:lnTo>
                <a:pt x="381" y="412"/>
              </a:lnTo>
              <a:lnTo>
                <a:pt x="386" y="413"/>
              </a:lnTo>
              <a:lnTo>
                <a:pt x="388" y="413"/>
              </a:lnTo>
              <a:lnTo>
                <a:pt x="396" y="417"/>
              </a:lnTo>
              <a:lnTo>
                <a:pt x="397" y="422"/>
              </a:lnTo>
              <a:lnTo>
                <a:pt x="401" y="428"/>
              </a:lnTo>
              <a:lnTo>
                <a:pt x="407" y="437"/>
              </a:lnTo>
              <a:lnTo>
                <a:pt x="408" y="442"/>
              </a:lnTo>
              <a:lnTo>
                <a:pt x="416" y="453"/>
              </a:lnTo>
              <a:lnTo>
                <a:pt x="419" y="454"/>
              </a:lnTo>
              <a:lnTo>
                <a:pt x="424" y="454"/>
              </a:lnTo>
              <a:lnTo>
                <a:pt x="428" y="458"/>
              </a:lnTo>
              <a:lnTo>
                <a:pt x="425" y="464"/>
              </a:lnTo>
              <a:lnTo>
                <a:pt x="420" y="461"/>
              </a:lnTo>
              <a:lnTo>
                <a:pt x="416" y="457"/>
              </a:lnTo>
              <a:lnTo>
                <a:pt x="413" y="462"/>
              </a:lnTo>
              <a:lnTo>
                <a:pt x="414" y="468"/>
              </a:lnTo>
              <a:lnTo>
                <a:pt x="418" y="473"/>
              </a:lnTo>
              <a:lnTo>
                <a:pt x="427" y="469"/>
              </a:lnTo>
              <a:lnTo>
                <a:pt x="432" y="465"/>
              </a:lnTo>
              <a:lnTo>
                <a:pt x="436" y="466"/>
              </a:lnTo>
              <a:lnTo>
                <a:pt x="440" y="466"/>
              </a:lnTo>
              <a:lnTo>
                <a:pt x="444" y="464"/>
              </a:lnTo>
              <a:lnTo>
                <a:pt x="448" y="458"/>
              </a:lnTo>
              <a:lnTo>
                <a:pt x="452" y="456"/>
              </a:lnTo>
              <a:lnTo>
                <a:pt x="456" y="458"/>
              </a:lnTo>
              <a:lnTo>
                <a:pt x="454" y="456"/>
              </a:lnTo>
              <a:lnTo>
                <a:pt x="459" y="458"/>
              </a:lnTo>
              <a:lnTo>
                <a:pt x="457" y="453"/>
              </a:lnTo>
              <a:lnTo>
                <a:pt x="459" y="448"/>
              </a:lnTo>
              <a:lnTo>
                <a:pt x="462" y="442"/>
              </a:lnTo>
              <a:lnTo>
                <a:pt x="459" y="432"/>
              </a:lnTo>
              <a:lnTo>
                <a:pt x="460" y="428"/>
              </a:lnTo>
              <a:lnTo>
                <a:pt x="459" y="422"/>
              </a:lnTo>
              <a:lnTo>
                <a:pt x="461" y="417"/>
              </a:lnTo>
              <a:lnTo>
                <a:pt x="462" y="412"/>
              </a:lnTo>
              <a:lnTo>
                <a:pt x="465" y="406"/>
              </a:lnTo>
              <a:lnTo>
                <a:pt x="464" y="401"/>
              </a:lnTo>
              <a:lnTo>
                <a:pt x="465" y="396"/>
              </a:lnTo>
              <a:lnTo>
                <a:pt x="467" y="401"/>
              </a:lnTo>
              <a:lnTo>
                <a:pt x="467" y="396"/>
              </a:lnTo>
              <a:lnTo>
                <a:pt x="466" y="389"/>
              </a:lnTo>
              <a:lnTo>
                <a:pt x="465" y="378"/>
              </a:lnTo>
              <a:lnTo>
                <a:pt x="465" y="362"/>
              </a:lnTo>
              <a:lnTo>
                <a:pt x="465" y="356"/>
              </a:lnTo>
              <a:lnTo>
                <a:pt x="464" y="330"/>
              </a:lnTo>
              <a:lnTo>
                <a:pt x="459" y="309"/>
              </a:lnTo>
              <a:lnTo>
                <a:pt x="457" y="308"/>
              </a:lnTo>
              <a:lnTo>
                <a:pt x="456" y="301"/>
              </a:lnTo>
              <a:lnTo>
                <a:pt x="450" y="290"/>
              </a:lnTo>
              <a:lnTo>
                <a:pt x="446" y="288"/>
              </a:lnTo>
              <a:lnTo>
                <a:pt x="444" y="289"/>
              </a:lnTo>
              <a:lnTo>
                <a:pt x="445" y="286"/>
              </a:lnTo>
              <a:lnTo>
                <a:pt x="445" y="281"/>
              </a:lnTo>
              <a:lnTo>
                <a:pt x="440" y="270"/>
              </a:lnTo>
              <a:lnTo>
                <a:pt x="433" y="252"/>
              </a:lnTo>
              <a:lnTo>
                <a:pt x="417" y="221"/>
              </a:lnTo>
              <a:lnTo>
                <a:pt x="405" y="195"/>
              </a:lnTo>
              <a:lnTo>
                <a:pt x="403" y="189"/>
              </a:lnTo>
              <a:lnTo>
                <a:pt x="397" y="173"/>
              </a:lnTo>
              <a:lnTo>
                <a:pt x="395" y="161"/>
              </a:lnTo>
              <a:lnTo>
                <a:pt x="396" y="161"/>
              </a:lnTo>
              <a:lnTo>
                <a:pt x="400" y="165"/>
              </a:lnTo>
              <a:lnTo>
                <a:pt x="399" y="171"/>
              </a:lnTo>
              <a:lnTo>
                <a:pt x="404" y="176"/>
              </a:lnTo>
              <a:lnTo>
                <a:pt x="408" y="173"/>
              </a:lnTo>
              <a:lnTo>
                <a:pt x="411" y="177"/>
              </a:lnTo>
              <a:lnTo>
                <a:pt x="412" y="183"/>
              </a:lnTo>
              <a:lnTo>
                <a:pt x="411" y="195"/>
              </a:lnTo>
              <a:lnTo>
                <a:pt x="414" y="211"/>
              </a:lnTo>
              <a:lnTo>
                <a:pt x="422" y="228"/>
              </a:lnTo>
              <a:lnTo>
                <a:pt x="427" y="233"/>
              </a:lnTo>
              <a:lnTo>
                <a:pt x="418" y="217"/>
              </a:lnTo>
              <a:lnTo>
                <a:pt x="416" y="212"/>
              </a:lnTo>
              <a:lnTo>
                <a:pt x="414" y="203"/>
              </a:lnTo>
              <a:lnTo>
                <a:pt x="412" y="191"/>
              </a:lnTo>
              <a:lnTo>
                <a:pt x="416" y="185"/>
              </a:lnTo>
              <a:lnTo>
                <a:pt x="414" y="180"/>
              </a:lnTo>
              <a:lnTo>
                <a:pt x="411" y="175"/>
              </a:lnTo>
              <a:lnTo>
                <a:pt x="403" y="163"/>
              </a:lnTo>
              <a:lnTo>
                <a:pt x="380" y="124"/>
              </a:lnTo>
              <a:lnTo>
                <a:pt x="367" y="95"/>
              </a:lnTo>
              <a:lnTo>
                <a:pt x="360" y="79"/>
              </a:lnTo>
              <a:lnTo>
                <a:pt x="354" y="59"/>
              </a:lnTo>
              <a:lnTo>
                <a:pt x="353" y="53"/>
              </a:lnTo>
              <a:lnTo>
                <a:pt x="348" y="41"/>
              </a:lnTo>
              <a:lnTo>
                <a:pt x="347" y="32"/>
              </a:lnTo>
              <a:lnTo>
                <a:pt x="345" y="27"/>
              </a:lnTo>
              <a:lnTo>
                <a:pt x="341" y="21"/>
              </a:lnTo>
              <a:lnTo>
                <a:pt x="339" y="15"/>
              </a:lnTo>
              <a:lnTo>
                <a:pt x="341" y="19"/>
              </a:lnTo>
              <a:lnTo>
                <a:pt x="342" y="8"/>
              </a:lnTo>
              <a:lnTo>
                <a:pt x="337" y="5"/>
              </a:lnTo>
              <a:lnTo>
                <a:pt x="335" y="5"/>
              </a:lnTo>
              <a:lnTo>
                <a:pt x="333" y="7"/>
              </a:lnTo>
              <a:lnTo>
                <a:pt x="329" y="5"/>
              </a:lnTo>
              <a:lnTo>
                <a:pt x="318" y="3"/>
              </a:lnTo>
              <a:lnTo>
                <a:pt x="314" y="0"/>
              </a:lnTo>
              <a:lnTo>
                <a:pt x="311" y="5"/>
              </a:lnTo>
              <a:lnTo>
                <a:pt x="309" y="5"/>
              </a:lnTo>
              <a:lnTo>
                <a:pt x="308" y="11"/>
              </a:lnTo>
              <a:lnTo>
                <a:pt x="308" y="16"/>
              </a:lnTo>
              <a:lnTo>
                <a:pt x="310" y="21"/>
              </a:lnTo>
              <a:lnTo>
                <a:pt x="311" y="27"/>
              </a:lnTo>
              <a:lnTo>
                <a:pt x="311" y="39"/>
              </a:lnTo>
              <a:lnTo>
                <a:pt x="307" y="43"/>
              </a:lnTo>
              <a:lnTo>
                <a:pt x="303" y="41"/>
              </a:lnTo>
              <a:lnTo>
                <a:pt x="300" y="31"/>
              </a:lnTo>
              <a:lnTo>
                <a:pt x="295" y="27"/>
              </a:lnTo>
              <a:lnTo>
                <a:pt x="153" y="40"/>
              </a:lnTo>
              <a:lnTo>
                <a:pt x="150" y="35"/>
              </a:lnTo>
              <a:lnTo>
                <a:pt x="149" y="29"/>
              </a:lnTo>
              <a:lnTo>
                <a:pt x="143" y="17"/>
              </a:lnTo>
              <a:lnTo>
                <a:pt x="56" y="32"/>
              </a:lnTo>
              <a:lnTo>
                <a:pt x="5" y="39"/>
              </a:lnTo>
              <a:lnTo>
                <a:pt x="1" y="43"/>
              </a:lnTo>
              <a:lnTo>
                <a:pt x="0" y="49"/>
              </a:lnTo>
              <a:lnTo>
                <a:pt x="6" y="61"/>
              </a:lnTo>
              <a:lnTo>
                <a:pt x="10" y="64"/>
              </a:lnTo>
              <a:lnTo>
                <a:pt x="14" y="68"/>
              </a:lnTo>
              <a:lnTo>
                <a:pt x="12" y="76"/>
              </a:lnTo>
              <a:lnTo>
                <a:pt x="13" y="79"/>
              </a:lnTo>
              <a:lnTo>
                <a:pt x="14" y="81"/>
              </a:lnTo>
              <a:lnTo>
                <a:pt x="14" y="81"/>
              </a:lnTo>
              <a:lnTo>
                <a:pt x="14" y="81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lIns="648000" anchor="ctr"/>
        <a:lstStyle/>
        <a:p>
          <a:pPr algn="ctr"/>
          <a:fld id="{9D041043-D1A7-41E6-85E2-F22584F21AF0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FL
5002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36424</xdr:colOff>
      <xdr:row>13</xdr:row>
      <xdr:rowOff>78499</xdr:rowOff>
    </xdr:from>
    <xdr:to>
      <xdr:col>9</xdr:col>
      <xdr:colOff>508502</xdr:colOff>
      <xdr:row>16</xdr:row>
      <xdr:rowOff>137102</xdr:rowOff>
    </xdr:to>
    <xdr:sp macro="" textlink="data!E46">
      <xdr:nvSpPr>
        <xdr:cNvPr id="218" name="OH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>
          <a:spLocks/>
        </xdr:cNvSpPr>
      </xdr:nvSpPr>
      <xdr:spPr bwMode="auto">
        <a:xfrm>
          <a:off x="5914710" y="2130456"/>
          <a:ext cx="472078" cy="532132"/>
        </a:xfrm>
        <a:custGeom>
          <a:avLst/>
          <a:gdLst>
            <a:gd name="T0" fmla="*/ 8 w 215"/>
            <a:gd name="T1" fmla="*/ 145 h 328"/>
            <a:gd name="T2" fmla="*/ 26 w 215"/>
            <a:gd name="T3" fmla="*/ 285 h 328"/>
            <a:gd name="T4" fmla="*/ 37 w 215"/>
            <a:gd name="T5" fmla="*/ 286 h 328"/>
            <a:gd name="T6" fmla="*/ 49 w 215"/>
            <a:gd name="T7" fmla="*/ 298 h 328"/>
            <a:gd name="T8" fmla="*/ 60 w 215"/>
            <a:gd name="T9" fmla="*/ 310 h 328"/>
            <a:gd name="T10" fmla="*/ 71 w 215"/>
            <a:gd name="T11" fmla="*/ 310 h 328"/>
            <a:gd name="T12" fmla="*/ 83 w 215"/>
            <a:gd name="T13" fmla="*/ 318 h 328"/>
            <a:gd name="T14" fmla="*/ 90 w 215"/>
            <a:gd name="T15" fmla="*/ 313 h 328"/>
            <a:gd name="T16" fmla="*/ 99 w 215"/>
            <a:gd name="T17" fmla="*/ 318 h 328"/>
            <a:gd name="T18" fmla="*/ 107 w 215"/>
            <a:gd name="T19" fmla="*/ 316 h 328"/>
            <a:gd name="T20" fmla="*/ 114 w 215"/>
            <a:gd name="T21" fmla="*/ 305 h 328"/>
            <a:gd name="T22" fmla="*/ 122 w 215"/>
            <a:gd name="T23" fmla="*/ 312 h 328"/>
            <a:gd name="T24" fmla="*/ 130 w 215"/>
            <a:gd name="T25" fmla="*/ 317 h 328"/>
            <a:gd name="T26" fmla="*/ 137 w 215"/>
            <a:gd name="T27" fmla="*/ 328 h 328"/>
            <a:gd name="T28" fmla="*/ 142 w 215"/>
            <a:gd name="T29" fmla="*/ 326 h 328"/>
            <a:gd name="T30" fmla="*/ 151 w 215"/>
            <a:gd name="T31" fmla="*/ 318 h 328"/>
            <a:gd name="T32" fmla="*/ 155 w 215"/>
            <a:gd name="T33" fmla="*/ 308 h 328"/>
            <a:gd name="T34" fmla="*/ 153 w 215"/>
            <a:gd name="T35" fmla="*/ 294 h 328"/>
            <a:gd name="T36" fmla="*/ 155 w 215"/>
            <a:gd name="T37" fmla="*/ 286 h 328"/>
            <a:gd name="T38" fmla="*/ 157 w 215"/>
            <a:gd name="T39" fmla="*/ 276 h 328"/>
            <a:gd name="T40" fmla="*/ 163 w 215"/>
            <a:gd name="T41" fmla="*/ 272 h 328"/>
            <a:gd name="T42" fmla="*/ 169 w 215"/>
            <a:gd name="T43" fmla="*/ 274 h 328"/>
            <a:gd name="T44" fmla="*/ 169 w 215"/>
            <a:gd name="T45" fmla="*/ 264 h 328"/>
            <a:gd name="T46" fmla="*/ 171 w 215"/>
            <a:gd name="T47" fmla="*/ 252 h 328"/>
            <a:gd name="T48" fmla="*/ 179 w 215"/>
            <a:gd name="T49" fmla="*/ 242 h 328"/>
            <a:gd name="T50" fmla="*/ 183 w 215"/>
            <a:gd name="T51" fmla="*/ 230 h 328"/>
            <a:gd name="T52" fmla="*/ 198 w 215"/>
            <a:gd name="T53" fmla="*/ 224 h 328"/>
            <a:gd name="T54" fmla="*/ 208 w 215"/>
            <a:gd name="T55" fmla="*/ 206 h 328"/>
            <a:gd name="T56" fmla="*/ 209 w 215"/>
            <a:gd name="T57" fmla="*/ 190 h 328"/>
            <a:gd name="T58" fmla="*/ 209 w 215"/>
            <a:gd name="T59" fmla="*/ 180 h 328"/>
            <a:gd name="T60" fmla="*/ 212 w 215"/>
            <a:gd name="T61" fmla="*/ 172 h 328"/>
            <a:gd name="T62" fmla="*/ 213 w 215"/>
            <a:gd name="T63" fmla="*/ 150 h 328"/>
            <a:gd name="T64" fmla="*/ 212 w 215"/>
            <a:gd name="T65" fmla="*/ 128 h 328"/>
            <a:gd name="T66" fmla="*/ 210 w 215"/>
            <a:gd name="T67" fmla="*/ 117 h 328"/>
            <a:gd name="T68" fmla="*/ 215 w 215"/>
            <a:gd name="T69" fmla="*/ 114 h 328"/>
            <a:gd name="T70" fmla="*/ 200 w 215"/>
            <a:gd name="T71" fmla="*/ 0 h 328"/>
            <a:gd name="T72" fmla="*/ 167 w 215"/>
            <a:gd name="T73" fmla="*/ 27 h 328"/>
            <a:gd name="T74" fmla="*/ 160 w 215"/>
            <a:gd name="T75" fmla="*/ 37 h 328"/>
            <a:gd name="T76" fmla="*/ 148 w 215"/>
            <a:gd name="T77" fmla="*/ 55 h 328"/>
            <a:gd name="T78" fmla="*/ 135 w 215"/>
            <a:gd name="T79" fmla="*/ 56 h 328"/>
            <a:gd name="T80" fmla="*/ 122 w 215"/>
            <a:gd name="T81" fmla="*/ 64 h 328"/>
            <a:gd name="T82" fmla="*/ 114 w 215"/>
            <a:gd name="T83" fmla="*/ 71 h 328"/>
            <a:gd name="T84" fmla="*/ 105 w 215"/>
            <a:gd name="T85" fmla="*/ 67 h 328"/>
            <a:gd name="T86" fmla="*/ 93 w 215"/>
            <a:gd name="T87" fmla="*/ 72 h 328"/>
            <a:gd name="T88" fmla="*/ 93 w 215"/>
            <a:gd name="T89" fmla="*/ 65 h 328"/>
            <a:gd name="T90" fmla="*/ 96 w 215"/>
            <a:gd name="T91" fmla="*/ 59 h 328"/>
            <a:gd name="T92" fmla="*/ 87 w 215"/>
            <a:gd name="T93" fmla="*/ 63 h 328"/>
            <a:gd name="T94" fmla="*/ 77 w 215"/>
            <a:gd name="T95" fmla="*/ 56 h 328"/>
            <a:gd name="T96" fmla="*/ 65 w 215"/>
            <a:gd name="T97" fmla="*/ 52 h 328"/>
            <a:gd name="T98" fmla="*/ 44 w 215"/>
            <a:gd name="T99" fmla="*/ 56 h 328"/>
            <a:gd name="T100" fmla="*/ 0 w 215"/>
            <a:gd name="T101" fmla="*/ 65 h 32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215" h="328">
              <a:moveTo>
                <a:pt x="0" y="65"/>
              </a:moveTo>
              <a:lnTo>
                <a:pt x="8" y="145"/>
              </a:lnTo>
              <a:lnTo>
                <a:pt x="20" y="289"/>
              </a:lnTo>
              <a:lnTo>
                <a:pt x="26" y="285"/>
              </a:lnTo>
              <a:lnTo>
                <a:pt x="30" y="289"/>
              </a:lnTo>
              <a:lnTo>
                <a:pt x="37" y="286"/>
              </a:lnTo>
              <a:lnTo>
                <a:pt x="47" y="292"/>
              </a:lnTo>
              <a:lnTo>
                <a:pt x="49" y="298"/>
              </a:lnTo>
              <a:lnTo>
                <a:pt x="55" y="309"/>
              </a:lnTo>
              <a:lnTo>
                <a:pt x="60" y="310"/>
              </a:lnTo>
              <a:lnTo>
                <a:pt x="68" y="309"/>
              </a:lnTo>
              <a:lnTo>
                <a:pt x="71" y="310"/>
              </a:lnTo>
              <a:lnTo>
                <a:pt x="79" y="318"/>
              </a:lnTo>
              <a:lnTo>
                <a:pt x="83" y="318"/>
              </a:lnTo>
              <a:lnTo>
                <a:pt x="86" y="313"/>
              </a:lnTo>
              <a:lnTo>
                <a:pt x="90" y="313"/>
              </a:lnTo>
              <a:lnTo>
                <a:pt x="95" y="313"/>
              </a:lnTo>
              <a:lnTo>
                <a:pt x="99" y="318"/>
              </a:lnTo>
              <a:lnTo>
                <a:pt x="103" y="316"/>
              </a:lnTo>
              <a:lnTo>
                <a:pt x="107" y="316"/>
              </a:lnTo>
              <a:lnTo>
                <a:pt x="110" y="310"/>
              </a:lnTo>
              <a:lnTo>
                <a:pt x="114" y="305"/>
              </a:lnTo>
              <a:lnTo>
                <a:pt x="119" y="302"/>
              </a:lnTo>
              <a:lnTo>
                <a:pt x="122" y="312"/>
              </a:lnTo>
              <a:lnTo>
                <a:pt x="126" y="317"/>
              </a:lnTo>
              <a:lnTo>
                <a:pt x="130" y="317"/>
              </a:lnTo>
              <a:lnTo>
                <a:pt x="134" y="322"/>
              </a:lnTo>
              <a:lnTo>
                <a:pt x="137" y="328"/>
              </a:lnTo>
              <a:lnTo>
                <a:pt x="138" y="328"/>
              </a:lnTo>
              <a:lnTo>
                <a:pt x="142" y="326"/>
              </a:lnTo>
              <a:lnTo>
                <a:pt x="148" y="324"/>
              </a:lnTo>
              <a:lnTo>
                <a:pt x="151" y="318"/>
              </a:lnTo>
              <a:lnTo>
                <a:pt x="151" y="312"/>
              </a:lnTo>
              <a:lnTo>
                <a:pt x="155" y="308"/>
              </a:lnTo>
              <a:lnTo>
                <a:pt x="154" y="297"/>
              </a:lnTo>
              <a:lnTo>
                <a:pt x="153" y="294"/>
              </a:lnTo>
              <a:lnTo>
                <a:pt x="154" y="289"/>
              </a:lnTo>
              <a:lnTo>
                <a:pt x="155" y="286"/>
              </a:lnTo>
              <a:lnTo>
                <a:pt x="155" y="281"/>
              </a:lnTo>
              <a:lnTo>
                <a:pt x="157" y="276"/>
              </a:lnTo>
              <a:lnTo>
                <a:pt x="160" y="269"/>
              </a:lnTo>
              <a:lnTo>
                <a:pt x="163" y="272"/>
              </a:lnTo>
              <a:lnTo>
                <a:pt x="168" y="280"/>
              </a:lnTo>
              <a:lnTo>
                <a:pt x="169" y="274"/>
              </a:lnTo>
              <a:lnTo>
                <a:pt x="172" y="269"/>
              </a:lnTo>
              <a:lnTo>
                <a:pt x="169" y="264"/>
              </a:lnTo>
              <a:lnTo>
                <a:pt x="171" y="258"/>
              </a:lnTo>
              <a:lnTo>
                <a:pt x="171" y="252"/>
              </a:lnTo>
              <a:lnTo>
                <a:pt x="173" y="246"/>
              </a:lnTo>
              <a:lnTo>
                <a:pt x="179" y="242"/>
              </a:lnTo>
              <a:lnTo>
                <a:pt x="179" y="237"/>
              </a:lnTo>
              <a:lnTo>
                <a:pt x="183" y="230"/>
              </a:lnTo>
              <a:lnTo>
                <a:pt x="190" y="234"/>
              </a:lnTo>
              <a:lnTo>
                <a:pt x="198" y="224"/>
              </a:lnTo>
              <a:lnTo>
                <a:pt x="203" y="213"/>
              </a:lnTo>
              <a:lnTo>
                <a:pt x="208" y="206"/>
              </a:lnTo>
              <a:lnTo>
                <a:pt x="210" y="196"/>
              </a:lnTo>
              <a:lnTo>
                <a:pt x="209" y="190"/>
              </a:lnTo>
              <a:lnTo>
                <a:pt x="210" y="185"/>
              </a:lnTo>
              <a:lnTo>
                <a:pt x="209" y="180"/>
              </a:lnTo>
              <a:lnTo>
                <a:pt x="211" y="180"/>
              </a:lnTo>
              <a:lnTo>
                <a:pt x="212" y="172"/>
              </a:lnTo>
              <a:lnTo>
                <a:pt x="211" y="166"/>
              </a:lnTo>
              <a:lnTo>
                <a:pt x="213" y="150"/>
              </a:lnTo>
              <a:lnTo>
                <a:pt x="215" y="144"/>
              </a:lnTo>
              <a:lnTo>
                <a:pt x="212" y="128"/>
              </a:lnTo>
              <a:lnTo>
                <a:pt x="209" y="122"/>
              </a:lnTo>
              <a:lnTo>
                <a:pt x="210" y="117"/>
              </a:lnTo>
              <a:lnTo>
                <a:pt x="212" y="117"/>
              </a:lnTo>
              <a:lnTo>
                <a:pt x="215" y="114"/>
              </a:lnTo>
              <a:lnTo>
                <a:pt x="201" y="4"/>
              </a:lnTo>
              <a:lnTo>
                <a:pt x="200" y="0"/>
              </a:lnTo>
              <a:lnTo>
                <a:pt x="176" y="20"/>
              </a:lnTo>
              <a:lnTo>
                <a:pt x="167" y="27"/>
              </a:lnTo>
              <a:lnTo>
                <a:pt x="163" y="32"/>
              </a:lnTo>
              <a:lnTo>
                <a:pt x="160" y="37"/>
              </a:lnTo>
              <a:lnTo>
                <a:pt x="156" y="45"/>
              </a:lnTo>
              <a:lnTo>
                <a:pt x="148" y="55"/>
              </a:lnTo>
              <a:lnTo>
                <a:pt x="139" y="56"/>
              </a:lnTo>
              <a:lnTo>
                <a:pt x="135" y="56"/>
              </a:lnTo>
              <a:lnTo>
                <a:pt x="126" y="61"/>
              </a:lnTo>
              <a:lnTo>
                <a:pt x="122" y="64"/>
              </a:lnTo>
              <a:lnTo>
                <a:pt x="118" y="67"/>
              </a:lnTo>
              <a:lnTo>
                <a:pt x="114" y="71"/>
              </a:lnTo>
              <a:lnTo>
                <a:pt x="110" y="69"/>
              </a:lnTo>
              <a:lnTo>
                <a:pt x="105" y="67"/>
              </a:lnTo>
              <a:lnTo>
                <a:pt x="97" y="67"/>
              </a:lnTo>
              <a:lnTo>
                <a:pt x="93" y="72"/>
              </a:lnTo>
              <a:lnTo>
                <a:pt x="89" y="71"/>
              </a:lnTo>
              <a:lnTo>
                <a:pt x="93" y="65"/>
              </a:lnTo>
              <a:lnTo>
                <a:pt x="99" y="64"/>
              </a:lnTo>
              <a:lnTo>
                <a:pt x="96" y="59"/>
              </a:lnTo>
              <a:lnTo>
                <a:pt x="92" y="64"/>
              </a:lnTo>
              <a:lnTo>
                <a:pt x="87" y="63"/>
              </a:lnTo>
              <a:lnTo>
                <a:pt x="83" y="59"/>
              </a:lnTo>
              <a:lnTo>
                <a:pt x="77" y="56"/>
              </a:lnTo>
              <a:lnTo>
                <a:pt x="73" y="53"/>
              </a:lnTo>
              <a:lnTo>
                <a:pt x="65" y="52"/>
              </a:lnTo>
              <a:lnTo>
                <a:pt x="63" y="51"/>
              </a:lnTo>
              <a:lnTo>
                <a:pt x="44" y="56"/>
              </a:lnTo>
              <a:lnTo>
                <a:pt x="0" y="65"/>
              </a:lnTo>
              <a:lnTo>
                <a:pt x="0" y="65"/>
              </a:lnTo>
              <a:lnTo>
                <a:pt x="0" y="65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2E460292-6EB4-45FC-AEB2-24258BDCE207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OH
4449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18398</xdr:colOff>
      <xdr:row>19</xdr:row>
      <xdr:rowOff>157429</xdr:rowOff>
    </xdr:from>
    <xdr:to>
      <xdr:col>10</xdr:col>
      <xdr:colOff>33982</xdr:colOff>
      <xdr:row>23</xdr:row>
      <xdr:rowOff>147672</xdr:rowOff>
    </xdr:to>
    <xdr:sp macro="" textlink="data!E21">
      <xdr:nvSpPr>
        <xdr:cNvPr id="219" name="GA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>
          <a:spLocks/>
        </xdr:cNvSpPr>
      </xdr:nvSpPr>
      <xdr:spPr bwMode="auto">
        <a:xfrm>
          <a:off x="5896684" y="3156443"/>
          <a:ext cx="668727" cy="621615"/>
        </a:xfrm>
        <a:custGeom>
          <a:avLst/>
          <a:gdLst>
            <a:gd name="T0" fmla="*/ 39 w 282"/>
            <a:gd name="T1" fmla="*/ 199 h 387"/>
            <a:gd name="T2" fmla="*/ 45 w 282"/>
            <a:gd name="T3" fmla="*/ 213 h 387"/>
            <a:gd name="T4" fmla="*/ 54 w 282"/>
            <a:gd name="T5" fmla="*/ 232 h 387"/>
            <a:gd name="T6" fmla="*/ 59 w 282"/>
            <a:gd name="T7" fmla="*/ 251 h 387"/>
            <a:gd name="T8" fmla="*/ 53 w 282"/>
            <a:gd name="T9" fmla="*/ 265 h 387"/>
            <a:gd name="T10" fmla="*/ 51 w 282"/>
            <a:gd name="T11" fmla="*/ 292 h 387"/>
            <a:gd name="T12" fmla="*/ 59 w 282"/>
            <a:gd name="T13" fmla="*/ 316 h 387"/>
            <a:gd name="T14" fmla="*/ 57 w 282"/>
            <a:gd name="T15" fmla="*/ 339 h 387"/>
            <a:gd name="T16" fmla="*/ 65 w 282"/>
            <a:gd name="T17" fmla="*/ 359 h 387"/>
            <a:gd name="T18" fmla="*/ 72 w 282"/>
            <a:gd name="T19" fmla="*/ 379 h 387"/>
            <a:gd name="T20" fmla="*/ 222 w 282"/>
            <a:gd name="T21" fmla="*/ 375 h 387"/>
            <a:gd name="T22" fmla="*/ 233 w 282"/>
            <a:gd name="T23" fmla="*/ 383 h 387"/>
            <a:gd name="T24" fmla="*/ 230 w 282"/>
            <a:gd name="T25" fmla="*/ 360 h 387"/>
            <a:gd name="T26" fmla="*/ 233 w 282"/>
            <a:gd name="T27" fmla="*/ 349 h 387"/>
            <a:gd name="T28" fmla="*/ 251 w 282"/>
            <a:gd name="T29" fmla="*/ 349 h 387"/>
            <a:gd name="T30" fmla="*/ 259 w 282"/>
            <a:gd name="T31" fmla="*/ 349 h 387"/>
            <a:gd name="T32" fmla="*/ 258 w 282"/>
            <a:gd name="T33" fmla="*/ 333 h 387"/>
            <a:gd name="T34" fmla="*/ 259 w 282"/>
            <a:gd name="T35" fmla="*/ 323 h 387"/>
            <a:gd name="T36" fmla="*/ 261 w 282"/>
            <a:gd name="T37" fmla="*/ 315 h 387"/>
            <a:gd name="T38" fmla="*/ 261 w 282"/>
            <a:gd name="T39" fmla="*/ 312 h 387"/>
            <a:gd name="T40" fmla="*/ 262 w 282"/>
            <a:gd name="T41" fmla="*/ 296 h 387"/>
            <a:gd name="T42" fmla="*/ 255 w 282"/>
            <a:gd name="T43" fmla="*/ 293 h 387"/>
            <a:gd name="T44" fmla="*/ 263 w 282"/>
            <a:gd name="T45" fmla="*/ 289 h 387"/>
            <a:gd name="T46" fmla="*/ 264 w 282"/>
            <a:gd name="T47" fmla="*/ 280 h 387"/>
            <a:gd name="T48" fmla="*/ 264 w 282"/>
            <a:gd name="T49" fmla="*/ 268 h 387"/>
            <a:gd name="T50" fmla="*/ 269 w 282"/>
            <a:gd name="T51" fmla="*/ 263 h 387"/>
            <a:gd name="T52" fmla="*/ 269 w 282"/>
            <a:gd name="T53" fmla="*/ 259 h 387"/>
            <a:gd name="T54" fmla="*/ 268 w 282"/>
            <a:gd name="T55" fmla="*/ 243 h 387"/>
            <a:gd name="T56" fmla="*/ 276 w 282"/>
            <a:gd name="T57" fmla="*/ 240 h 387"/>
            <a:gd name="T58" fmla="*/ 279 w 282"/>
            <a:gd name="T59" fmla="*/ 229 h 387"/>
            <a:gd name="T60" fmla="*/ 266 w 282"/>
            <a:gd name="T61" fmla="*/ 225 h 387"/>
            <a:gd name="T62" fmla="*/ 263 w 282"/>
            <a:gd name="T63" fmla="*/ 209 h 387"/>
            <a:gd name="T64" fmla="*/ 255 w 282"/>
            <a:gd name="T65" fmla="*/ 192 h 387"/>
            <a:gd name="T66" fmla="*/ 244 w 282"/>
            <a:gd name="T67" fmla="*/ 179 h 387"/>
            <a:gd name="T68" fmla="*/ 237 w 282"/>
            <a:gd name="T69" fmla="*/ 160 h 387"/>
            <a:gd name="T70" fmla="*/ 224 w 282"/>
            <a:gd name="T71" fmla="*/ 145 h 387"/>
            <a:gd name="T72" fmla="*/ 215 w 282"/>
            <a:gd name="T73" fmla="*/ 137 h 387"/>
            <a:gd name="T74" fmla="*/ 209 w 282"/>
            <a:gd name="T75" fmla="*/ 124 h 387"/>
            <a:gd name="T76" fmla="*/ 199 w 282"/>
            <a:gd name="T77" fmla="*/ 111 h 387"/>
            <a:gd name="T78" fmla="*/ 189 w 282"/>
            <a:gd name="T79" fmla="*/ 100 h 387"/>
            <a:gd name="T80" fmla="*/ 169 w 282"/>
            <a:gd name="T81" fmla="*/ 81 h 387"/>
            <a:gd name="T82" fmla="*/ 153 w 282"/>
            <a:gd name="T83" fmla="*/ 52 h 387"/>
            <a:gd name="T84" fmla="*/ 140 w 282"/>
            <a:gd name="T85" fmla="*/ 43 h 387"/>
            <a:gd name="T86" fmla="*/ 124 w 282"/>
            <a:gd name="T87" fmla="*/ 31 h 387"/>
            <a:gd name="T88" fmla="*/ 131 w 282"/>
            <a:gd name="T89" fmla="*/ 4 h 387"/>
            <a:gd name="T90" fmla="*/ 47 w 282"/>
            <a:gd name="T91" fmla="*/ 15 h 387"/>
            <a:gd name="T92" fmla="*/ 0 w 282"/>
            <a:gd name="T93" fmla="*/ 23 h 3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</a:cxnLst>
          <a:rect l="0" t="0" r="r" b="b"/>
          <a:pathLst>
            <a:path w="282" h="387">
              <a:moveTo>
                <a:pt x="0" y="23"/>
              </a:moveTo>
              <a:lnTo>
                <a:pt x="20" y="105"/>
              </a:lnTo>
              <a:lnTo>
                <a:pt x="39" y="199"/>
              </a:lnTo>
              <a:lnTo>
                <a:pt x="41" y="201"/>
              </a:lnTo>
              <a:lnTo>
                <a:pt x="42" y="208"/>
              </a:lnTo>
              <a:lnTo>
                <a:pt x="45" y="213"/>
              </a:lnTo>
              <a:lnTo>
                <a:pt x="48" y="224"/>
              </a:lnTo>
              <a:lnTo>
                <a:pt x="53" y="231"/>
              </a:lnTo>
              <a:lnTo>
                <a:pt x="54" y="232"/>
              </a:lnTo>
              <a:lnTo>
                <a:pt x="56" y="239"/>
              </a:lnTo>
              <a:lnTo>
                <a:pt x="55" y="248"/>
              </a:lnTo>
              <a:lnTo>
                <a:pt x="59" y="251"/>
              </a:lnTo>
              <a:lnTo>
                <a:pt x="60" y="255"/>
              </a:lnTo>
              <a:lnTo>
                <a:pt x="56" y="260"/>
              </a:lnTo>
              <a:lnTo>
                <a:pt x="53" y="265"/>
              </a:lnTo>
              <a:lnTo>
                <a:pt x="54" y="276"/>
              </a:lnTo>
              <a:lnTo>
                <a:pt x="52" y="281"/>
              </a:lnTo>
              <a:lnTo>
                <a:pt x="51" y="292"/>
              </a:lnTo>
              <a:lnTo>
                <a:pt x="54" y="303"/>
              </a:lnTo>
              <a:lnTo>
                <a:pt x="57" y="308"/>
              </a:lnTo>
              <a:lnTo>
                <a:pt x="59" y="316"/>
              </a:lnTo>
              <a:lnTo>
                <a:pt x="58" y="321"/>
              </a:lnTo>
              <a:lnTo>
                <a:pt x="58" y="327"/>
              </a:lnTo>
              <a:lnTo>
                <a:pt x="57" y="339"/>
              </a:lnTo>
              <a:lnTo>
                <a:pt x="58" y="345"/>
              </a:lnTo>
              <a:lnTo>
                <a:pt x="61" y="351"/>
              </a:lnTo>
              <a:lnTo>
                <a:pt x="65" y="359"/>
              </a:lnTo>
              <a:lnTo>
                <a:pt x="65" y="361"/>
              </a:lnTo>
              <a:lnTo>
                <a:pt x="71" y="373"/>
              </a:lnTo>
              <a:lnTo>
                <a:pt x="72" y="379"/>
              </a:lnTo>
              <a:lnTo>
                <a:pt x="75" y="384"/>
              </a:lnTo>
              <a:lnTo>
                <a:pt x="217" y="371"/>
              </a:lnTo>
              <a:lnTo>
                <a:pt x="222" y="375"/>
              </a:lnTo>
              <a:lnTo>
                <a:pt x="225" y="385"/>
              </a:lnTo>
              <a:lnTo>
                <a:pt x="229" y="387"/>
              </a:lnTo>
              <a:lnTo>
                <a:pt x="233" y="383"/>
              </a:lnTo>
              <a:lnTo>
                <a:pt x="233" y="371"/>
              </a:lnTo>
              <a:lnTo>
                <a:pt x="232" y="365"/>
              </a:lnTo>
              <a:lnTo>
                <a:pt x="230" y="360"/>
              </a:lnTo>
              <a:lnTo>
                <a:pt x="230" y="355"/>
              </a:lnTo>
              <a:lnTo>
                <a:pt x="231" y="349"/>
              </a:lnTo>
              <a:lnTo>
                <a:pt x="233" y="349"/>
              </a:lnTo>
              <a:lnTo>
                <a:pt x="236" y="344"/>
              </a:lnTo>
              <a:lnTo>
                <a:pt x="240" y="347"/>
              </a:lnTo>
              <a:lnTo>
                <a:pt x="251" y="349"/>
              </a:lnTo>
              <a:lnTo>
                <a:pt x="255" y="351"/>
              </a:lnTo>
              <a:lnTo>
                <a:pt x="257" y="349"/>
              </a:lnTo>
              <a:lnTo>
                <a:pt x="259" y="349"/>
              </a:lnTo>
              <a:lnTo>
                <a:pt x="260" y="344"/>
              </a:lnTo>
              <a:lnTo>
                <a:pt x="257" y="339"/>
              </a:lnTo>
              <a:lnTo>
                <a:pt x="258" y="333"/>
              </a:lnTo>
              <a:lnTo>
                <a:pt x="260" y="328"/>
              </a:lnTo>
              <a:lnTo>
                <a:pt x="257" y="328"/>
              </a:lnTo>
              <a:lnTo>
                <a:pt x="259" y="323"/>
              </a:lnTo>
              <a:lnTo>
                <a:pt x="255" y="317"/>
              </a:lnTo>
              <a:lnTo>
                <a:pt x="259" y="321"/>
              </a:lnTo>
              <a:lnTo>
                <a:pt x="261" y="315"/>
              </a:lnTo>
              <a:lnTo>
                <a:pt x="256" y="315"/>
              </a:lnTo>
              <a:lnTo>
                <a:pt x="257" y="309"/>
              </a:lnTo>
              <a:lnTo>
                <a:pt x="261" y="312"/>
              </a:lnTo>
              <a:lnTo>
                <a:pt x="265" y="304"/>
              </a:lnTo>
              <a:lnTo>
                <a:pt x="266" y="299"/>
              </a:lnTo>
              <a:lnTo>
                <a:pt x="262" y="296"/>
              </a:lnTo>
              <a:lnTo>
                <a:pt x="258" y="296"/>
              </a:lnTo>
              <a:lnTo>
                <a:pt x="254" y="293"/>
              </a:lnTo>
              <a:lnTo>
                <a:pt x="255" y="293"/>
              </a:lnTo>
              <a:lnTo>
                <a:pt x="259" y="295"/>
              </a:lnTo>
              <a:lnTo>
                <a:pt x="263" y="295"/>
              </a:lnTo>
              <a:lnTo>
                <a:pt x="263" y="289"/>
              </a:lnTo>
              <a:lnTo>
                <a:pt x="265" y="289"/>
              </a:lnTo>
              <a:lnTo>
                <a:pt x="268" y="279"/>
              </a:lnTo>
              <a:lnTo>
                <a:pt x="264" y="280"/>
              </a:lnTo>
              <a:lnTo>
                <a:pt x="262" y="277"/>
              </a:lnTo>
              <a:lnTo>
                <a:pt x="266" y="273"/>
              </a:lnTo>
              <a:lnTo>
                <a:pt x="264" y="268"/>
              </a:lnTo>
              <a:lnTo>
                <a:pt x="268" y="271"/>
              </a:lnTo>
              <a:lnTo>
                <a:pt x="270" y="265"/>
              </a:lnTo>
              <a:lnTo>
                <a:pt x="269" y="263"/>
              </a:lnTo>
              <a:lnTo>
                <a:pt x="266" y="265"/>
              </a:lnTo>
              <a:lnTo>
                <a:pt x="265" y="260"/>
              </a:lnTo>
              <a:lnTo>
                <a:pt x="269" y="259"/>
              </a:lnTo>
              <a:lnTo>
                <a:pt x="272" y="252"/>
              </a:lnTo>
              <a:lnTo>
                <a:pt x="268" y="248"/>
              </a:lnTo>
              <a:lnTo>
                <a:pt x="268" y="243"/>
              </a:lnTo>
              <a:lnTo>
                <a:pt x="272" y="245"/>
              </a:lnTo>
              <a:lnTo>
                <a:pt x="276" y="245"/>
              </a:lnTo>
              <a:lnTo>
                <a:pt x="276" y="240"/>
              </a:lnTo>
              <a:lnTo>
                <a:pt x="280" y="236"/>
              </a:lnTo>
              <a:lnTo>
                <a:pt x="282" y="231"/>
              </a:lnTo>
              <a:lnTo>
                <a:pt x="279" y="229"/>
              </a:lnTo>
              <a:lnTo>
                <a:pt x="277" y="229"/>
              </a:lnTo>
              <a:lnTo>
                <a:pt x="275" y="227"/>
              </a:lnTo>
              <a:lnTo>
                <a:pt x="266" y="225"/>
              </a:lnTo>
              <a:lnTo>
                <a:pt x="264" y="220"/>
              </a:lnTo>
              <a:lnTo>
                <a:pt x="263" y="215"/>
              </a:lnTo>
              <a:lnTo>
                <a:pt x="263" y="209"/>
              </a:lnTo>
              <a:lnTo>
                <a:pt x="260" y="204"/>
              </a:lnTo>
              <a:lnTo>
                <a:pt x="258" y="197"/>
              </a:lnTo>
              <a:lnTo>
                <a:pt x="255" y="192"/>
              </a:lnTo>
              <a:lnTo>
                <a:pt x="249" y="189"/>
              </a:lnTo>
              <a:lnTo>
                <a:pt x="245" y="185"/>
              </a:lnTo>
              <a:lnTo>
                <a:pt x="244" y="179"/>
              </a:lnTo>
              <a:lnTo>
                <a:pt x="244" y="175"/>
              </a:lnTo>
              <a:lnTo>
                <a:pt x="242" y="168"/>
              </a:lnTo>
              <a:lnTo>
                <a:pt x="237" y="160"/>
              </a:lnTo>
              <a:lnTo>
                <a:pt x="236" y="155"/>
              </a:lnTo>
              <a:lnTo>
                <a:pt x="228" y="148"/>
              </a:lnTo>
              <a:lnTo>
                <a:pt x="224" y="145"/>
              </a:lnTo>
              <a:lnTo>
                <a:pt x="220" y="140"/>
              </a:lnTo>
              <a:lnTo>
                <a:pt x="220" y="140"/>
              </a:lnTo>
              <a:lnTo>
                <a:pt x="215" y="137"/>
              </a:lnTo>
              <a:lnTo>
                <a:pt x="214" y="132"/>
              </a:lnTo>
              <a:lnTo>
                <a:pt x="210" y="129"/>
              </a:lnTo>
              <a:lnTo>
                <a:pt x="209" y="124"/>
              </a:lnTo>
              <a:lnTo>
                <a:pt x="209" y="120"/>
              </a:lnTo>
              <a:lnTo>
                <a:pt x="205" y="117"/>
              </a:lnTo>
              <a:lnTo>
                <a:pt x="199" y="111"/>
              </a:lnTo>
              <a:lnTo>
                <a:pt x="195" y="109"/>
              </a:lnTo>
              <a:lnTo>
                <a:pt x="192" y="107"/>
              </a:lnTo>
              <a:lnTo>
                <a:pt x="189" y="100"/>
              </a:lnTo>
              <a:lnTo>
                <a:pt x="185" y="95"/>
              </a:lnTo>
              <a:lnTo>
                <a:pt x="177" y="89"/>
              </a:lnTo>
              <a:lnTo>
                <a:pt x="169" y="81"/>
              </a:lnTo>
              <a:lnTo>
                <a:pt x="158" y="64"/>
              </a:lnTo>
              <a:lnTo>
                <a:pt x="157" y="59"/>
              </a:lnTo>
              <a:lnTo>
                <a:pt x="153" y="52"/>
              </a:lnTo>
              <a:lnTo>
                <a:pt x="151" y="47"/>
              </a:lnTo>
              <a:lnTo>
                <a:pt x="146" y="43"/>
              </a:lnTo>
              <a:lnTo>
                <a:pt x="140" y="43"/>
              </a:lnTo>
              <a:lnTo>
                <a:pt x="132" y="35"/>
              </a:lnTo>
              <a:lnTo>
                <a:pt x="128" y="34"/>
              </a:lnTo>
              <a:lnTo>
                <a:pt x="124" y="31"/>
              </a:lnTo>
              <a:lnTo>
                <a:pt x="122" y="26"/>
              </a:lnTo>
              <a:lnTo>
                <a:pt x="123" y="20"/>
              </a:lnTo>
              <a:lnTo>
                <a:pt x="131" y="4"/>
              </a:lnTo>
              <a:lnTo>
                <a:pt x="132" y="0"/>
              </a:lnTo>
              <a:lnTo>
                <a:pt x="68" y="14"/>
              </a:lnTo>
              <a:lnTo>
                <a:pt x="47" y="15"/>
              </a:lnTo>
              <a:lnTo>
                <a:pt x="0" y="23"/>
              </a:lnTo>
              <a:lnTo>
                <a:pt x="0" y="23"/>
              </a:lnTo>
              <a:lnTo>
                <a:pt x="0" y="23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E2AD4BB1-C85A-40C9-A41B-4BC30FDA1FE6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GA
4922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198720</xdr:colOff>
      <xdr:row>17</xdr:row>
      <xdr:rowOff>107019</xdr:rowOff>
    </xdr:from>
    <xdr:to>
      <xdr:col>10</xdr:col>
      <xdr:colOff>546035</xdr:colOff>
      <xdr:row>20</xdr:row>
      <xdr:rowOff>63551</xdr:rowOff>
    </xdr:to>
    <xdr:sp macro="" textlink="data!E38">
      <xdr:nvSpPr>
        <xdr:cNvPr id="220" name="NC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SpPr>
          <a:spLocks/>
        </xdr:cNvSpPr>
      </xdr:nvSpPr>
      <xdr:spPr bwMode="auto">
        <a:xfrm>
          <a:off x="6077006" y="2790348"/>
          <a:ext cx="1000458" cy="430060"/>
        </a:xfrm>
        <a:custGeom>
          <a:avLst/>
          <a:gdLst>
            <a:gd name="T0" fmla="*/ 82 w 435"/>
            <a:gd name="T1" fmla="*/ 212 h 264"/>
            <a:gd name="T2" fmla="*/ 104 w 435"/>
            <a:gd name="T3" fmla="*/ 195 h 264"/>
            <a:gd name="T4" fmla="*/ 176 w 435"/>
            <a:gd name="T5" fmla="*/ 189 h 264"/>
            <a:gd name="T6" fmla="*/ 186 w 435"/>
            <a:gd name="T7" fmla="*/ 211 h 264"/>
            <a:gd name="T8" fmla="*/ 315 w 435"/>
            <a:gd name="T9" fmla="*/ 262 h 264"/>
            <a:gd name="T10" fmla="*/ 342 w 435"/>
            <a:gd name="T11" fmla="*/ 252 h 264"/>
            <a:gd name="T12" fmla="*/ 343 w 435"/>
            <a:gd name="T13" fmla="*/ 235 h 264"/>
            <a:gd name="T14" fmla="*/ 351 w 435"/>
            <a:gd name="T15" fmla="*/ 215 h 264"/>
            <a:gd name="T16" fmla="*/ 365 w 435"/>
            <a:gd name="T17" fmla="*/ 183 h 264"/>
            <a:gd name="T18" fmla="*/ 369 w 435"/>
            <a:gd name="T19" fmla="*/ 188 h 264"/>
            <a:gd name="T20" fmla="*/ 381 w 435"/>
            <a:gd name="T21" fmla="*/ 173 h 264"/>
            <a:gd name="T22" fmla="*/ 398 w 435"/>
            <a:gd name="T23" fmla="*/ 159 h 264"/>
            <a:gd name="T24" fmla="*/ 408 w 435"/>
            <a:gd name="T25" fmla="*/ 163 h 264"/>
            <a:gd name="T26" fmla="*/ 415 w 435"/>
            <a:gd name="T27" fmla="*/ 136 h 264"/>
            <a:gd name="T28" fmla="*/ 409 w 435"/>
            <a:gd name="T29" fmla="*/ 139 h 264"/>
            <a:gd name="T30" fmla="*/ 403 w 435"/>
            <a:gd name="T31" fmla="*/ 140 h 264"/>
            <a:gd name="T32" fmla="*/ 383 w 435"/>
            <a:gd name="T33" fmla="*/ 148 h 264"/>
            <a:gd name="T34" fmla="*/ 381 w 435"/>
            <a:gd name="T35" fmla="*/ 140 h 264"/>
            <a:gd name="T36" fmla="*/ 400 w 435"/>
            <a:gd name="T37" fmla="*/ 132 h 264"/>
            <a:gd name="T38" fmla="*/ 401 w 435"/>
            <a:gd name="T39" fmla="*/ 123 h 264"/>
            <a:gd name="T40" fmla="*/ 372 w 435"/>
            <a:gd name="T41" fmla="*/ 105 h 264"/>
            <a:gd name="T42" fmla="*/ 388 w 435"/>
            <a:gd name="T43" fmla="*/ 107 h 264"/>
            <a:gd name="T44" fmla="*/ 392 w 435"/>
            <a:gd name="T45" fmla="*/ 95 h 264"/>
            <a:gd name="T46" fmla="*/ 402 w 435"/>
            <a:gd name="T47" fmla="*/ 104 h 264"/>
            <a:gd name="T48" fmla="*/ 418 w 435"/>
            <a:gd name="T49" fmla="*/ 105 h 264"/>
            <a:gd name="T50" fmla="*/ 432 w 435"/>
            <a:gd name="T51" fmla="*/ 79 h 264"/>
            <a:gd name="T52" fmla="*/ 430 w 435"/>
            <a:gd name="T53" fmla="*/ 52 h 264"/>
            <a:gd name="T54" fmla="*/ 420 w 435"/>
            <a:gd name="T55" fmla="*/ 55 h 264"/>
            <a:gd name="T56" fmla="*/ 415 w 435"/>
            <a:gd name="T57" fmla="*/ 75 h 264"/>
            <a:gd name="T58" fmla="*/ 416 w 435"/>
            <a:gd name="T59" fmla="*/ 55 h 264"/>
            <a:gd name="T60" fmla="*/ 404 w 435"/>
            <a:gd name="T61" fmla="*/ 57 h 264"/>
            <a:gd name="T62" fmla="*/ 382 w 435"/>
            <a:gd name="T63" fmla="*/ 63 h 264"/>
            <a:gd name="T64" fmla="*/ 375 w 435"/>
            <a:gd name="T65" fmla="*/ 40 h 264"/>
            <a:gd name="T66" fmla="*/ 377 w 435"/>
            <a:gd name="T67" fmla="*/ 35 h 264"/>
            <a:gd name="T68" fmla="*/ 385 w 435"/>
            <a:gd name="T69" fmla="*/ 52 h 264"/>
            <a:gd name="T70" fmla="*/ 398 w 435"/>
            <a:gd name="T71" fmla="*/ 40 h 264"/>
            <a:gd name="T72" fmla="*/ 410 w 435"/>
            <a:gd name="T73" fmla="*/ 36 h 264"/>
            <a:gd name="T74" fmla="*/ 406 w 435"/>
            <a:gd name="T75" fmla="*/ 24 h 264"/>
            <a:gd name="T76" fmla="*/ 412 w 435"/>
            <a:gd name="T77" fmla="*/ 20 h 264"/>
            <a:gd name="T78" fmla="*/ 416 w 435"/>
            <a:gd name="T79" fmla="*/ 15 h 264"/>
            <a:gd name="T80" fmla="*/ 407 w 435"/>
            <a:gd name="T81" fmla="*/ 0 h 264"/>
            <a:gd name="T82" fmla="*/ 146 w 435"/>
            <a:gd name="T83" fmla="*/ 67 h 264"/>
            <a:gd name="T84" fmla="*/ 121 w 435"/>
            <a:gd name="T85" fmla="*/ 81 h 264"/>
            <a:gd name="T86" fmla="*/ 109 w 435"/>
            <a:gd name="T87" fmla="*/ 111 h 264"/>
            <a:gd name="T88" fmla="*/ 89 w 435"/>
            <a:gd name="T89" fmla="*/ 121 h 264"/>
            <a:gd name="T90" fmla="*/ 77 w 435"/>
            <a:gd name="T91" fmla="*/ 127 h 264"/>
            <a:gd name="T92" fmla="*/ 66 w 435"/>
            <a:gd name="T93" fmla="*/ 136 h 264"/>
            <a:gd name="T94" fmla="*/ 50 w 435"/>
            <a:gd name="T95" fmla="*/ 160 h 264"/>
            <a:gd name="T96" fmla="*/ 18 w 435"/>
            <a:gd name="T97" fmla="*/ 185 h 264"/>
            <a:gd name="T98" fmla="*/ 9 w 435"/>
            <a:gd name="T99" fmla="*/ 209 h 264"/>
            <a:gd name="T100" fmla="*/ 0 w 435"/>
            <a:gd name="T101" fmla="*/ 235 h 2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435" h="264">
              <a:moveTo>
                <a:pt x="0" y="235"/>
              </a:moveTo>
              <a:lnTo>
                <a:pt x="64" y="221"/>
              </a:lnTo>
              <a:lnTo>
                <a:pt x="77" y="212"/>
              </a:lnTo>
              <a:lnTo>
                <a:pt x="82" y="212"/>
              </a:lnTo>
              <a:lnTo>
                <a:pt x="88" y="204"/>
              </a:lnTo>
              <a:lnTo>
                <a:pt x="96" y="200"/>
              </a:lnTo>
              <a:lnTo>
                <a:pt x="100" y="196"/>
              </a:lnTo>
              <a:lnTo>
                <a:pt x="104" y="195"/>
              </a:lnTo>
              <a:lnTo>
                <a:pt x="151" y="188"/>
              </a:lnTo>
              <a:lnTo>
                <a:pt x="168" y="187"/>
              </a:lnTo>
              <a:lnTo>
                <a:pt x="172" y="192"/>
              </a:lnTo>
              <a:lnTo>
                <a:pt x="176" y="189"/>
              </a:lnTo>
              <a:lnTo>
                <a:pt x="183" y="199"/>
              </a:lnTo>
              <a:lnTo>
                <a:pt x="185" y="204"/>
              </a:lnTo>
              <a:lnTo>
                <a:pt x="185" y="209"/>
              </a:lnTo>
              <a:lnTo>
                <a:pt x="186" y="211"/>
              </a:lnTo>
              <a:lnTo>
                <a:pt x="244" y="199"/>
              </a:lnTo>
              <a:lnTo>
                <a:pt x="310" y="261"/>
              </a:lnTo>
              <a:lnTo>
                <a:pt x="312" y="264"/>
              </a:lnTo>
              <a:lnTo>
                <a:pt x="315" y="262"/>
              </a:lnTo>
              <a:lnTo>
                <a:pt x="323" y="258"/>
              </a:lnTo>
              <a:lnTo>
                <a:pt x="331" y="256"/>
              </a:lnTo>
              <a:lnTo>
                <a:pt x="338" y="256"/>
              </a:lnTo>
              <a:lnTo>
                <a:pt x="342" y="252"/>
              </a:lnTo>
              <a:lnTo>
                <a:pt x="343" y="241"/>
              </a:lnTo>
              <a:lnTo>
                <a:pt x="340" y="229"/>
              </a:lnTo>
              <a:lnTo>
                <a:pt x="341" y="229"/>
              </a:lnTo>
              <a:lnTo>
                <a:pt x="343" y="235"/>
              </a:lnTo>
              <a:lnTo>
                <a:pt x="346" y="248"/>
              </a:lnTo>
              <a:lnTo>
                <a:pt x="346" y="232"/>
              </a:lnTo>
              <a:lnTo>
                <a:pt x="347" y="225"/>
              </a:lnTo>
              <a:lnTo>
                <a:pt x="351" y="215"/>
              </a:lnTo>
              <a:lnTo>
                <a:pt x="356" y="204"/>
              </a:lnTo>
              <a:lnTo>
                <a:pt x="365" y="193"/>
              </a:lnTo>
              <a:lnTo>
                <a:pt x="363" y="188"/>
              </a:lnTo>
              <a:lnTo>
                <a:pt x="365" y="183"/>
              </a:lnTo>
              <a:lnTo>
                <a:pt x="363" y="179"/>
              </a:lnTo>
              <a:lnTo>
                <a:pt x="367" y="181"/>
              </a:lnTo>
              <a:lnTo>
                <a:pt x="364" y="187"/>
              </a:lnTo>
              <a:lnTo>
                <a:pt x="369" y="188"/>
              </a:lnTo>
              <a:lnTo>
                <a:pt x="370" y="188"/>
              </a:lnTo>
              <a:lnTo>
                <a:pt x="373" y="183"/>
              </a:lnTo>
              <a:lnTo>
                <a:pt x="376" y="172"/>
              </a:lnTo>
              <a:lnTo>
                <a:pt x="381" y="173"/>
              </a:lnTo>
              <a:lnTo>
                <a:pt x="391" y="167"/>
              </a:lnTo>
              <a:lnTo>
                <a:pt x="395" y="167"/>
              </a:lnTo>
              <a:lnTo>
                <a:pt x="395" y="164"/>
              </a:lnTo>
              <a:lnTo>
                <a:pt x="398" y="159"/>
              </a:lnTo>
              <a:lnTo>
                <a:pt x="400" y="165"/>
              </a:lnTo>
              <a:lnTo>
                <a:pt x="402" y="159"/>
              </a:lnTo>
              <a:lnTo>
                <a:pt x="406" y="163"/>
              </a:lnTo>
              <a:lnTo>
                <a:pt x="408" y="163"/>
              </a:lnTo>
              <a:lnTo>
                <a:pt x="412" y="152"/>
              </a:lnTo>
              <a:lnTo>
                <a:pt x="415" y="147"/>
              </a:lnTo>
              <a:lnTo>
                <a:pt x="417" y="140"/>
              </a:lnTo>
              <a:lnTo>
                <a:pt x="415" y="136"/>
              </a:lnTo>
              <a:lnTo>
                <a:pt x="414" y="136"/>
              </a:lnTo>
              <a:lnTo>
                <a:pt x="412" y="143"/>
              </a:lnTo>
              <a:lnTo>
                <a:pt x="408" y="144"/>
              </a:lnTo>
              <a:lnTo>
                <a:pt x="409" y="139"/>
              </a:lnTo>
              <a:lnTo>
                <a:pt x="407" y="133"/>
              </a:lnTo>
              <a:lnTo>
                <a:pt x="406" y="139"/>
              </a:lnTo>
              <a:lnTo>
                <a:pt x="406" y="139"/>
              </a:lnTo>
              <a:lnTo>
                <a:pt x="403" y="140"/>
              </a:lnTo>
              <a:lnTo>
                <a:pt x="404" y="145"/>
              </a:lnTo>
              <a:lnTo>
                <a:pt x="400" y="143"/>
              </a:lnTo>
              <a:lnTo>
                <a:pt x="392" y="149"/>
              </a:lnTo>
              <a:lnTo>
                <a:pt x="383" y="148"/>
              </a:lnTo>
              <a:lnTo>
                <a:pt x="376" y="140"/>
              </a:lnTo>
              <a:lnTo>
                <a:pt x="373" y="135"/>
              </a:lnTo>
              <a:lnTo>
                <a:pt x="377" y="137"/>
              </a:lnTo>
              <a:lnTo>
                <a:pt x="381" y="140"/>
              </a:lnTo>
              <a:lnTo>
                <a:pt x="386" y="144"/>
              </a:lnTo>
              <a:lnTo>
                <a:pt x="390" y="145"/>
              </a:lnTo>
              <a:lnTo>
                <a:pt x="393" y="143"/>
              </a:lnTo>
              <a:lnTo>
                <a:pt x="400" y="132"/>
              </a:lnTo>
              <a:lnTo>
                <a:pt x="400" y="127"/>
              </a:lnTo>
              <a:lnTo>
                <a:pt x="396" y="128"/>
              </a:lnTo>
              <a:lnTo>
                <a:pt x="397" y="123"/>
              </a:lnTo>
              <a:lnTo>
                <a:pt x="401" y="123"/>
              </a:lnTo>
              <a:lnTo>
                <a:pt x="403" y="116"/>
              </a:lnTo>
              <a:lnTo>
                <a:pt x="394" y="112"/>
              </a:lnTo>
              <a:lnTo>
                <a:pt x="390" y="112"/>
              </a:lnTo>
              <a:lnTo>
                <a:pt x="372" y="105"/>
              </a:lnTo>
              <a:lnTo>
                <a:pt x="371" y="104"/>
              </a:lnTo>
              <a:lnTo>
                <a:pt x="371" y="103"/>
              </a:lnTo>
              <a:lnTo>
                <a:pt x="380" y="105"/>
              </a:lnTo>
              <a:lnTo>
                <a:pt x="388" y="107"/>
              </a:lnTo>
              <a:lnTo>
                <a:pt x="392" y="104"/>
              </a:lnTo>
              <a:lnTo>
                <a:pt x="394" y="105"/>
              </a:lnTo>
              <a:lnTo>
                <a:pt x="393" y="100"/>
              </a:lnTo>
              <a:lnTo>
                <a:pt x="392" y="95"/>
              </a:lnTo>
              <a:lnTo>
                <a:pt x="396" y="93"/>
              </a:lnTo>
              <a:lnTo>
                <a:pt x="394" y="97"/>
              </a:lnTo>
              <a:lnTo>
                <a:pt x="398" y="103"/>
              </a:lnTo>
              <a:lnTo>
                <a:pt x="402" y="104"/>
              </a:lnTo>
              <a:lnTo>
                <a:pt x="403" y="99"/>
              </a:lnTo>
              <a:lnTo>
                <a:pt x="405" y="104"/>
              </a:lnTo>
              <a:lnTo>
                <a:pt x="409" y="104"/>
              </a:lnTo>
              <a:lnTo>
                <a:pt x="418" y="105"/>
              </a:lnTo>
              <a:lnTo>
                <a:pt x="422" y="100"/>
              </a:lnTo>
              <a:lnTo>
                <a:pt x="428" y="83"/>
              </a:lnTo>
              <a:lnTo>
                <a:pt x="428" y="77"/>
              </a:lnTo>
              <a:lnTo>
                <a:pt x="432" y="79"/>
              </a:lnTo>
              <a:lnTo>
                <a:pt x="435" y="73"/>
              </a:lnTo>
              <a:lnTo>
                <a:pt x="434" y="69"/>
              </a:lnTo>
              <a:lnTo>
                <a:pt x="433" y="57"/>
              </a:lnTo>
              <a:lnTo>
                <a:pt x="430" y="52"/>
              </a:lnTo>
              <a:lnTo>
                <a:pt x="426" y="47"/>
              </a:lnTo>
              <a:lnTo>
                <a:pt x="426" y="51"/>
              </a:lnTo>
              <a:lnTo>
                <a:pt x="426" y="55"/>
              </a:lnTo>
              <a:lnTo>
                <a:pt x="420" y="55"/>
              </a:lnTo>
              <a:lnTo>
                <a:pt x="420" y="61"/>
              </a:lnTo>
              <a:lnTo>
                <a:pt x="421" y="72"/>
              </a:lnTo>
              <a:lnTo>
                <a:pt x="417" y="77"/>
              </a:lnTo>
              <a:lnTo>
                <a:pt x="415" y="75"/>
              </a:lnTo>
              <a:lnTo>
                <a:pt x="418" y="69"/>
              </a:lnTo>
              <a:lnTo>
                <a:pt x="414" y="67"/>
              </a:lnTo>
              <a:lnTo>
                <a:pt x="416" y="61"/>
              </a:lnTo>
              <a:lnTo>
                <a:pt x="416" y="55"/>
              </a:lnTo>
              <a:lnTo>
                <a:pt x="415" y="49"/>
              </a:lnTo>
              <a:lnTo>
                <a:pt x="411" y="49"/>
              </a:lnTo>
              <a:lnTo>
                <a:pt x="404" y="52"/>
              </a:lnTo>
              <a:lnTo>
                <a:pt x="404" y="57"/>
              </a:lnTo>
              <a:lnTo>
                <a:pt x="395" y="55"/>
              </a:lnTo>
              <a:lnTo>
                <a:pt x="391" y="59"/>
              </a:lnTo>
              <a:lnTo>
                <a:pt x="387" y="61"/>
              </a:lnTo>
              <a:lnTo>
                <a:pt x="382" y="63"/>
              </a:lnTo>
              <a:lnTo>
                <a:pt x="382" y="56"/>
              </a:lnTo>
              <a:lnTo>
                <a:pt x="378" y="51"/>
              </a:lnTo>
              <a:lnTo>
                <a:pt x="376" y="45"/>
              </a:lnTo>
              <a:lnTo>
                <a:pt x="375" y="40"/>
              </a:lnTo>
              <a:lnTo>
                <a:pt x="377" y="35"/>
              </a:lnTo>
              <a:lnTo>
                <a:pt x="375" y="31"/>
              </a:lnTo>
              <a:lnTo>
                <a:pt x="377" y="33"/>
              </a:lnTo>
              <a:lnTo>
                <a:pt x="377" y="35"/>
              </a:lnTo>
              <a:lnTo>
                <a:pt x="378" y="36"/>
              </a:lnTo>
              <a:lnTo>
                <a:pt x="377" y="41"/>
              </a:lnTo>
              <a:lnTo>
                <a:pt x="381" y="52"/>
              </a:lnTo>
              <a:lnTo>
                <a:pt x="385" y="52"/>
              </a:lnTo>
              <a:lnTo>
                <a:pt x="390" y="55"/>
              </a:lnTo>
              <a:lnTo>
                <a:pt x="399" y="44"/>
              </a:lnTo>
              <a:lnTo>
                <a:pt x="394" y="40"/>
              </a:lnTo>
              <a:lnTo>
                <a:pt x="398" y="40"/>
              </a:lnTo>
              <a:lnTo>
                <a:pt x="404" y="41"/>
              </a:lnTo>
              <a:lnTo>
                <a:pt x="401" y="36"/>
              </a:lnTo>
              <a:lnTo>
                <a:pt x="406" y="39"/>
              </a:lnTo>
              <a:lnTo>
                <a:pt x="410" y="36"/>
              </a:lnTo>
              <a:lnTo>
                <a:pt x="410" y="32"/>
              </a:lnTo>
              <a:lnTo>
                <a:pt x="405" y="27"/>
              </a:lnTo>
              <a:lnTo>
                <a:pt x="401" y="25"/>
              </a:lnTo>
              <a:lnTo>
                <a:pt x="406" y="24"/>
              </a:lnTo>
              <a:lnTo>
                <a:pt x="414" y="31"/>
              </a:lnTo>
              <a:lnTo>
                <a:pt x="419" y="31"/>
              </a:lnTo>
              <a:lnTo>
                <a:pt x="415" y="25"/>
              </a:lnTo>
              <a:lnTo>
                <a:pt x="412" y="20"/>
              </a:lnTo>
              <a:lnTo>
                <a:pt x="421" y="29"/>
              </a:lnTo>
              <a:lnTo>
                <a:pt x="424" y="36"/>
              </a:lnTo>
              <a:lnTo>
                <a:pt x="424" y="31"/>
              </a:lnTo>
              <a:lnTo>
                <a:pt x="416" y="15"/>
              </a:lnTo>
              <a:lnTo>
                <a:pt x="416" y="12"/>
              </a:lnTo>
              <a:lnTo>
                <a:pt x="411" y="11"/>
              </a:lnTo>
              <a:lnTo>
                <a:pt x="408" y="5"/>
              </a:lnTo>
              <a:lnTo>
                <a:pt x="407" y="0"/>
              </a:lnTo>
              <a:lnTo>
                <a:pt x="357" y="15"/>
              </a:lnTo>
              <a:lnTo>
                <a:pt x="300" y="31"/>
              </a:lnTo>
              <a:lnTo>
                <a:pt x="188" y="59"/>
              </a:lnTo>
              <a:lnTo>
                <a:pt x="146" y="67"/>
              </a:lnTo>
              <a:lnTo>
                <a:pt x="131" y="68"/>
              </a:lnTo>
              <a:lnTo>
                <a:pt x="122" y="68"/>
              </a:lnTo>
              <a:lnTo>
                <a:pt x="120" y="76"/>
              </a:lnTo>
              <a:lnTo>
                <a:pt x="121" y="81"/>
              </a:lnTo>
              <a:lnTo>
                <a:pt x="119" y="91"/>
              </a:lnTo>
              <a:lnTo>
                <a:pt x="115" y="93"/>
              </a:lnTo>
              <a:lnTo>
                <a:pt x="111" y="99"/>
              </a:lnTo>
              <a:lnTo>
                <a:pt x="109" y="111"/>
              </a:lnTo>
              <a:lnTo>
                <a:pt x="105" y="116"/>
              </a:lnTo>
              <a:lnTo>
                <a:pt x="101" y="112"/>
              </a:lnTo>
              <a:lnTo>
                <a:pt x="93" y="117"/>
              </a:lnTo>
              <a:lnTo>
                <a:pt x="89" y="121"/>
              </a:lnTo>
              <a:lnTo>
                <a:pt x="87" y="127"/>
              </a:lnTo>
              <a:lnTo>
                <a:pt x="83" y="132"/>
              </a:lnTo>
              <a:lnTo>
                <a:pt x="81" y="132"/>
              </a:lnTo>
              <a:lnTo>
                <a:pt x="77" y="127"/>
              </a:lnTo>
              <a:lnTo>
                <a:pt x="73" y="131"/>
              </a:lnTo>
              <a:lnTo>
                <a:pt x="71" y="133"/>
              </a:lnTo>
              <a:lnTo>
                <a:pt x="70" y="139"/>
              </a:lnTo>
              <a:lnTo>
                <a:pt x="66" y="136"/>
              </a:lnTo>
              <a:lnTo>
                <a:pt x="64" y="148"/>
              </a:lnTo>
              <a:lnTo>
                <a:pt x="62" y="153"/>
              </a:lnTo>
              <a:lnTo>
                <a:pt x="58" y="153"/>
              </a:lnTo>
              <a:lnTo>
                <a:pt x="50" y="160"/>
              </a:lnTo>
              <a:lnTo>
                <a:pt x="38" y="176"/>
              </a:lnTo>
              <a:lnTo>
                <a:pt x="35" y="177"/>
              </a:lnTo>
              <a:lnTo>
                <a:pt x="26" y="179"/>
              </a:lnTo>
              <a:lnTo>
                <a:pt x="18" y="185"/>
              </a:lnTo>
              <a:lnTo>
                <a:pt x="15" y="191"/>
              </a:lnTo>
              <a:lnTo>
                <a:pt x="13" y="196"/>
              </a:lnTo>
              <a:lnTo>
                <a:pt x="12" y="204"/>
              </a:lnTo>
              <a:lnTo>
                <a:pt x="9" y="209"/>
              </a:lnTo>
              <a:lnTo>
                <a:pt x="0" y="212"/>
              </a:lnTo>
              <a:lnTo>
                <a:pt x="0" y="235"/>
              </a:lnTo>
              <a:lnTo>
                <a:pt x="0" y="235"/>
              </a:lnTo>
              <a:lnTo>
                <a:pt x="0" y="235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6D7C6949-24CB-42B1-9BDB-EAFF1BE4AAD5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NC
3954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242439</xdr:colOff>
      <xdr:row>15</xdr:row>
      <xdr:rowOff>88760</xdr:rowOff>
    </xdr:from>
    <xdr:to>
      <xdr:col>10</xdr:col>
      <xdr:colOff>500442</xdr:colOff>
      <xdr:row>18</xdr:row>
      <xdr:rowOff>96328</xdr:rowOff>
    </xdr:to>
    <xdr:sp macro="" textlink="data!E57">
      <xdr:nvSpPr>
        <xdr:cNvPr id="221" name="VA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SpPr>
          <a:spLocks/>
        </xdr:cNvSpPr>
      </xdr:nvSpPr>
      <xdr:spPr bwMode="auto">
        <a:xfrm>
          <a:off x="6120725" y="2456403"/>
          <a:ext cx="911146" cy="481096"/>
        </a:xfrm>
        <a:custGeom>
          <a:avLst/>
          <a:gdLst>
            <a:gd name="T0" fmla="*/ 59 w 396"/>
            <a:gd name="T1" fmla="*/ 292 h 301"/>
            <a:gd name="T2" fmla="*/ 111 w 396"/>
            <a:gd name="T3" fmla="*/ 281 h 301"/>
            <a:gd name="T4" fmla="*/ 337 w 396"/>
            <a:gd name="T5" fmla="*/ 228 h 301"/>
            <a:gd name="T6" fmla="*/ 390 w 396"/>
            <a:gd name="T7" fmla="*/ 213 h 301"/>
            <a:gd name="T8" fmla="*/ 395 w 396"/>
            <a:gd name="T9" fmla="*/ 212 h 301"/>
            <a:gd name="T10" fmla="*/ 374 w 396"/>
            <a:gd name="T11" fmla="*/ 184 h 301"/>
            <a:gd name="T12" fmla="*/ 366 w 396"/>
            <a:gd name="T13" fmla="*/ 189 h 301"/>
            <a:gd name="T14" fmla="*/ 356 w 396"/>
            <a:gd name="T15" fmla="*/ 184 h 301"/>
            <a:gd name="T16" fmla="*/ 347 w 396"/>
            <a:gd name="T17" fmla="*/ 169 h 301"/>
            <a:gd name="T18" fmla="*/ 327 w 396"/>
            <a:gd name="T19" fmla="*/ 166 h 301"/>
            <a:gd name="T20" fmla="*/ 328 w 396"/>
            <a:gd name="T21" fmla="*/ 162 h 301"/>
            <a:gd name="T22" fmla="*/ 339 w 396"/>
            <a:gd name="T23" fmla="*/ 166 h 301"/>
            <a:gd name="T24" fmla="*/ 354 w 396"/>
            <a:gd name="T25" fmla="*/ 176 h 301"/>
            <a:gd name="T26" fmla="*/ 367 w 396"/>
            <a:gd name="T27" fmla="*/ 180 h 301"/>
            <a:gd name="T28" fmla="*/ 361 w 396"/>
            <a:gd name="T29" fmla="*/ 161 h 301"/>
            <a:gd name="T30" fmla="*/ 336 w 396"/>
            <a:gd name="T31" fmla="*/ 144 h 301"/>
            <a:gd name="T32" fmla="*/ 358 w 396"/>
            <a:gd name="T33" fmla="*/ 153 h 301"/>
            <a:gd name="T34" fmla="*/ 364 w 396"/>
            <a:gd name="T35" fmla="*/ 152 h 301"/>
            <a:gd name="T36" fmla="*/ 355 w 396"/>
            <a:gd name="T37" fmla="*/ 136 h 301"/>
            <a:gd name="T38" fmla="*/ 345 w 396"/>
            <a:gd name="T39" fmla="*/ 125 h 301"/>
            <a:gd name="T40" fmla="*/ 327 w 396"/>
            <a:gd name="T41" fmla="*/ 108 h 301"/>
            <a:gd name="T42" fmla="*/ 311 w 396"/>
            <a:gd name="T43" fmla="*/ 92 h 301"/>
            <a:gd name="T44" fmla="*/ 327 w 396"/>
            <a:gd name="T45" fmla="*/ 105 h 301"/>
            <a:gd name="T46" fmla="*/ 346 w 396"/>
            <a:gd name="T47" fmla="*/ 122 h 301"/>
            <a:gd name="T48" fmla="*/ 357 w 396"/>
            <a:gd name="T49" fmla="*/ 118 h 301"/>
            <a:gd name="T50" fmla="*/ 358 w 396"/>
            <a:gd name="T51" fmla="*/ 102 h 301"/>
            <a:gd name="T52" fmla="*/ 342 w 396"/>
            <a:gd name="T53" fmla="*/ 96 h 301"/>
            <a:gd name="T54" fmla="*/ 329 w 396"/>
            <a:gd name="T55" fmla="*/ 88 h 301"/>
            <a:gd name="T56" fmla="*/ 314 w 396"/>
            <a:gd name="T57" fmla="*/ 78 h 301"/>
            <a:gd name="T58" fmla="*/ 302 w 396"/>
            <a:gd name="T59" fmla="*/ 80 h 301"/>
            <a:gd name="T60" fmla="*/ 298 w 396"/>
            <a:gd name="T61" fmla="*/ 68 h 301"/>
            <a:gd name="T62" fmla="*/ 304 w 396"/>
            <a:gd name="T63" fmla="*/ 50 h 301"/>
            <a:gd name="T64" fmla="*/ 306 w 396"/>
            <a:gd name="T65" fmla="*/ 34 h 301"/>
            <a:gd name="T66" fmla="*/ 294 w 396"/>
            <a:gd name="T67" fmla="*/ 21 h 301"/>
            <a:gd name="T68" fmla="*/ 280 w 396"/>
            <a:gd name="T69" fmla="*/ 10 h 301"/>
            <a:gd name="T70" fmla="*/ 264 w 396"/>
            <a:gd name="T71" fmla="*/ 10 h 301"/>
            <a:gd name="T72" fmla="*/ 235 w 396"/>
            <a:gd name="T73" fmla="*/ 8 h 301"/>
            <a:gd name="T74" fmla="*/ 228 w 396"/>
            <a:gd name="T75" fmla="*/ 42 h 301"/>
            <a:gd name="T76" fmla="*/ 214 w 396"/>
            <a:gd name="T77" fmla="*/ 61 h 301"/>
            <a:gd name="T78" fmla="*/ 205 w 396"/>
            <a:gd name="T79" fmla="*/ 78 h 301"/>
            <a:gd name="T80" fmla="*/ 189 w 396"/>
            <a:gd name="T81" fmla="*/ 96 h 301"/>
            <a:gd name="T82" fmla="*/ 180 w 396"/>
            <a:gd name="T83" fmla="*/ 101 h 301"/>
            <a:gd name="T84" fmla="*/ 173 w 396"/>
            <a:gd name="T85" fmla="*/ 126 h 301"/>
            <a:gd name="T86" fmla="*/ 162 w 396"/>
            <a:gd name="T87" fmla="*/ 161 h 301"/>
            <a:gd name="T88" fmla="*/ 162 w 396"/>
            <a:gd name="T89" fmla="*/ 188 h 301"/>
            <a:gd name="T90" fmla="*/ 140 w 396"/>
            <a:gd name="T91" fmla="*/ 205 h 301"/>
            <a:gd name="T92" fmla="*/ 129 w 396"/>
            <a:gd name="T93" fmla="*/ 213 h 301"/>
            <a:gd name="T94" fmla="*/ 107 w 396"/>
            <a:gd name="T95" fmla="*/ 221 h 301"/>
            <a:gd name="T96" fmla="*/ 80 w 396"/>
            <a:gd name="T97" fmla="*/ 216 h 301"/>
            <a:gd name="T98" fmla="*/ 47 w 396"/>
            <a:gd name="T99" fmla="*/ 244 h 301"/>
            <a:gd name="T100" fmla="*/ 38 w 396"/>
            <a:gd name="T101" fmla="*/ 265 h 301"/>
            <a:gd name="T102" fmla="*/ 26 w 396"/>
            <a:gd name="T103" fmla="*/ 284 h 301"/>
            <a:gd name="T104" fmla="*/ 0 w 396"/>
            <a:gd name="T105" fmla="*/ 301 h 30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</a:cxnLst>
          <a:rect l="0" t="0" r="r" b="b"/>
          <a:pathLst>
            <a:path w="396" h="301">
              <a:moveTo>
                <a:pt x="0" y="301"/>
              </a:moveTo>
              <a:lnTo>
                <a:pt x="16" y="298"/>
              </a:lnTo>
              <a:lnTo>
                <a:pt x="24" y="298"/>
              </a:lnTo>
              <a:lnTo>
                <a:pt x="59" y="292"/>
              </a:lnTo>
              <a:lnTo>
                <a:pt x="80" y="286"/>
              </a:lnTo>
              <a:lnTo>
                <a:pt x="96" y="281"/>
              </a:lnTo>
              <a:lnTo>
                <a:pt x="102" y="281"/>
              </a:lnTo>
              <a:lnTo>
                <a:pt x="111" y="281"/>
              </a:lnTo>
              <a:lnTo>
                <a:pt x="126" y="280"/>
              </a:lnTo>
              <a:lnTo>
                <a:pt x="168" y="272"/>
              </a:lnTo>
              <a:lnTo>
                <a:pt x="280" y="244"/>
              </a:lnTo>
              <a:lnTo>
                <a:pt x="337" y="228"/>
              </a:lnTo>
              <a:lnTo>
                <a:pt x="387" y="213"/>
              </a:lnTo>
              <a:lnTo>
                <a:pt x="386" y="210"/>
              </a:lnTo>
              <a:lnTo>
                <a:pt x="388" y="213"/>
              </a:lnTo>
              <a:lnTo>
                <a:pt x="390" y="213"/>
              </a:lnTo>
              <a:lnTo>
                <a:pt x="389" y="208"/>
              </a:lnTo>
              <a:lnTo>
                <a:pt x="389" y="201"/>
              </a:lnTo>
              <a:lnTo>
                <a:pt x="393" y="205"/>
              </a:lnTo>
              <a:lnTo>
                <a:pt x="395" y="212"/>
              </a:lnTo>
              <a:lnTo>
                <a:pt x="396" y="210"/>
              </a:lnTo>
              <a:lnTo>
                <a:pt x="389" y="194"/>
              </a:lnTo>
              <a:lnTo>
                <a:pt x="385" y="184"/>
              </a:lnTo>
              <a:lnTo>
                <a:pt x="374" y="184"/>
              </a:lnTo>
              <a:lnTo>
                <a:pt x="370" y="182"/>
              </a:lnTo>
              <a:lnTo>
                <a:pt x="368" y="189"/>
              </a:lnTo>
              <a:lnTo>
                <a:pt x="370" y="192"/>
              </a:lnTo>
              <a:lnTo>
                <a:pt x="366" y="189"/>
              </a:lnTo>
              <a:lnTo>
                <a:pt x="363" y="189"/>
              </a:lnTo>
              <a:lnTo>
                <a:pt x="358" y="194"/>
              </a:lnTo>
              <a:lnTo>
                <a:pt x="360" y="189"/>
              </a:lnTo>
              <a:lnTo>
                <a:pt x="356" y="184"/>
              </a:lnTo>
              <a:lnTo>
                <a:pt x="352" y="180"/>
              </a:lnTo>
              <a:lnTo>
                <a:pt x="351" y="181"/>
              </a:lnTo>
              <a:lnTo>
                <a:pt x="349" y="174"/>
              </a:lnTo>
              <a:lnTo>
                <a:pt x="347" y="169"/>
              </a:lnTo>
              <a:lnTo>
                <a:pt x="343" y="172"/>
              </a:lnTo>
              <a:lnTo>
                <a:pt x="339" y="169"/>
              </a:lnTo>
              <a:lnTo>
                <a:pt x="335" y="170"/>
              </a:lnTo>
              <a:lnTo>
                <a:pt x="327" y="166"/>
              </a:lnTo>
              <a:lnTo>
                <a:pt x="314" y="166"/>
              </a:lnTo>
              <a:lnTo>
                <a:pt x="315" y="164"/>
              </a:lnTo>
              <a:lnTo>
                <a:pt x="319" y="165"/>
              </a:lnTo>
              <a:lnTo>
                <a:pt x="328" y="162"/>
              </a:lnTo>
              <a:lnTo>
                <a:pt x="332" y="168"/>
              </a:lnTo>
              <a:lnTo>
                <a:pt x="334" y="168"/>
              </a:lnTo>
              <a:lnTo>
                <a:pt x="335" y="161"/>
              </a:lnTo>
              <a:lnTo>
                <a:pt x="339" y="166"/>
              </a:lnTo>
              <a:lnTo>
                <a:pt x="343" y="169"/>
              </a:lnTo>
              <a:lnTo>
                <a:pt x="347" y="165"/>
              </a:lnTo>
              <a:lnTo>
                <a:pt x="350" y="170"/>
              </a:lnTo>
              <a:lnTo>
                <a:pt x="354" y="176"/>
              </a:lnTo>
              <a:lnTo>
                <a:pt x="358" y="178"/>
              </a:lnTo>
              <a:lnTo>
                <a:pt x="362" y="184"/>
              </a:lnTo>
              <a:lnTo>
                <a:pt x="364" y="181"/>
              </a:lnTo>
              <a:lnTo>
                <a:pt x="367" y="180"/>
              </a:lnTo>
              <a:lnTo>
                <a:pt x="368" y="173"/>
              </a:lnTo>
              <a:lnTo>
                <a:pt x="366" y="168"/>
              </a:lnTo>
              <a:lnTo>
                <a:pt x="362" y="166"/>
              </a:lnTo>
              <a:lnTo>
                <a:pt x="361" y="161"/>
              </a:lnTo>
              <a:lnTo>
                <a:pt x="356" y="162"/>
              </a:lnTo>
              <a:lnTo>
                <a:pt x="348" y="158"/>
              </a:lnTo>
              <a:lnTo>
                <a:pt x="345" y="153"/>
              </a:lnTo>
              <a:lnTo>
                <a:pt x="336" y="144"/>
              </a:lnTo>
              <a:lnTo>
                <a:pt x="340" y="145"/>
              </a:lnTo>
              <a:lnTo>
                <a:pt x="348" y="154"/>
              </a:lnTo>
              <a:lnTo>
                <a:pt x="356" y="160"/>
              </a:lnTo>
              <a:lnTo>
                <a:pt x="358" y="153"/>
              </a:lnTo>
              <a:lnTo>
                <a:pt x="355" y="148"/>
              </a:lnTo>
              <a:lnTo>
                <a:pt x="356" y="146"/>
              </a:lnTo>
              <a:lnTo>
                <a:pt x="360" y="148"/>
              </a:lnTo>
              <a:lnTo>
                <a:pt x="364" y="152"/>
              </a:lnTo>
              <a:lnTo>
                <a:pt x="365" y="146"/>
              </a:lnTo>
              <a:lnTo>
                <a:pt x="363" y="137"/>
              </a:lnTo>
              <a:lnTo>
                <a:pt x="359" y="137"/>
              </a:lnTo>
              <a:lnTo>
                <a:pt x="355" y="136"/>
              </a:lnTo>
              <a:lnTo>
                <a:pt x="357" y="134"/>
              </a:lnTo>
              <a:lnTo>
                <a:pt x="353" y="129"/>
              </a:lnTo>
              <a:lnTo>
                <a:pt x="349" y="129"/>
              </a:lnTo>
              <a:lnTo>
                <a:pt x="345" y="125"/>
              </a:lnTo>
              <a:lnTo>
                <a:pt x="343" y="122"/>
              </a:lnTo>
              <a:lnTo>
                <a:pt x="335" y="117"/>
              </a:lnTo>
              <a:lnTo>
                <a:pt x="332" y="110"/>
              </a:lnTo>
              <a:lnTo>
                <a:pt x="327" y="108"/>
              </a:lnTo>
              <a:lnTo>
                <a:pt x="325" y="105"/>
              </a:lnTo>
              <a:lnTo>
                <a:pt x="323" y="100"/>
              </a:lnTo>
              <a:lnTo>
                <a:pt x="314" y="93"/>
              </a:lnTo>
              <a:lnTo>
                <a:pt x="311" y="92"/>
              </a:lnTo>
              <a:lnTo>
                <a:pt x="315" y="92"/>
              </a:lnTo>
              <a:lnTo>
                <a:pt x="319" y="94"/>
              </a:lnTo>
              <a:lnTo>
                <a:pt x="324" y="100"/>
              </a:lnTo>
              <a:lnTo>
                <a:pt x="327" y="105"/>
              </a:lnTo>
              <a:lnTo>
                <a:pt x="331" y="108"/>
              </a:lnTo>
              <a:lnTo>
                <a:pt x="335" y="113"/>
              </a:lnTo>
              <a:lnTo>
                <a:pt x="338" y="113"/>
              </a:lnTo>
              <a:lnTo>
                <a:pt x="346" y="122"/>
              </a:lnTo>
              <a:lnTo>
                <a:pt x="350" y="122"/>
              </a:lnTo>
              <a:lnTo>
                <a:pt x="351" y="124"/>
              </a:lnTo>
              <a:lnTo>
                <a:pt x="355" y="126"/>
              </a:lnTo>
              <a:lnTo>
                <a:pt x="357" y="118"/>
              </a:lnTo>
              <a:lnTo>
                <a:pt x="357" y="113"/>
              </a:lnTo>
              <a:lnTo>
                <a:pt x="355" y="108"/>
              </a:lnTo>
              <a:lnTo>
                <a:pt x="358" y="108"/>
              </a:lnTo>
              <a:lnTo>
                <a:pt x="358" y="102"/>
              </a:lnTo>
              <a:lnTo>
                <a:pt x="350" y="98"/>
              </a:lnTo>
              <a:lnTo>
                <a:pt x="346" y="97"/>
              </a:lnTo>
              <a:lnTo>
                <a:pt x="346" y="96"/>
              </a:lnTo>
              <a:lnTo>
                <a:pt x="342" y="96"/>
              </a:lnTo>
              <a:lnTo>
                <a:pt x="342" y="92"/>
              </a:lnTo>
              <a:lnTo>
                <a:pt x="338" y="89"/>
              </a:lnTo>
              <a:lnTo>
                <a:pt x="337" y="86"/>
              </a:lnTo>
              <a:lnTo>
                <a:pt x="329" y="88"/>
              </a:lnTo>
              <a:lnTo>
                <a:pt x="328" y="86"/>
              </a:lnTo>
              <a:lnTo>
                <a:pt x="323" y="88"/>
              </a:lnTo>
              <a:lnTo>
                <a:pt x="321" y="86"/>
              </a:lnTo>
              <a:lnTo>
                <a:pt x="314" y="78"/>
              </a:lnTo>
              <a:lnTo>
                <a:pt x="314" y="73"/>
              </a:lnTo>
              <a:lnTo>
                <a:pt x="310" y="73"/>
              </a:lnTo>
              <a:lnTo>
                <a:pt x="305" y="78"/>
              </a:lnTo>
              <a:lnTo>
                <a:pt x="302" y="80"/>
              </a:lnTo>
              <a:lnTo>
                <a:pt x="298" y="78"/>
              </a:lnTo>
              <a:lnTo>
                <a:pt x="297" y="73"/>
              </a:lnTo>
              <a:lnTo>
                <a:pt x="298" y="73"/>
              </a:lnTo>
              <a:lnTo>
                <a:pt x="298" y="68"/>
              </a:lnTo>
              <a:lnTo>
                <a:pt x="299" y="52"/>
              </a:lnTo>
              <a:lnTo>
                <a:pt x="301" y="53"/>
              </a:lnTo>
              <a:lnTo>
                <a:pt x="303" y="53"/>
              </a:lnTo>
              <a:lnTo>
                <a:pt x="304" y="50"/>
              </a:lnTo>
              <a:lnTo>
                <a:pt x="303" y="48"/>
              </a:lnTo>
              <a:lnTo>
                <a:pt x="307" y="42"/>
              </a:lnTo>
              <a:lnTo>
                <a:pt x="306" y="37"/>
              </a:lnTo>
              <a:lnTo>
                <a:pt x="306" y="34"/>
              </a:lnTo>
              <a:lnTo>
                <a:pt x="304" y="28"/>
              </a:lnTo>
              <a:lnTo>
                <a:pt x="300" y="25"/>
              </a:lnTo>
              <a:lnTo>
                <a:pt x="297" y="24"/>
              </a:lnTo>
              <a:lnTo>
                <a:pt x="294" y="21"/>
              </a:lnTo>
              <a:lnTo>
                <a:pt x="289" y="18"/>
              </a:lnTo>
              <a:lnTo>
                <a:pt x="284" y="18"/>
              </a:lnTo>
              <a:lnTo>
                <a:pt x="279" y="16"/>
              </a:lnTo>
              <a:lnTo>
                <a:pt x="280" y="10"/>
              </a:lnTo>
              <a:lnTo>
                <a:pt x="278" y="5"/>
              </a:lnTo>
              <a:lnTo>
                <a:pt x="274" y="1"/>
              </a:lnTo>
              <a:lnTo>
                <a:pt x="265" y="1"/>
              </a:lnTo>
              <a:lnTo>
                <a:pt x="264" y="10"/>
              </a:lnTo>
              <a:lnTo>
                <a:pt x="261" y="17"/>
              </a:lnTo>
              <a:lnTo>
                <a:pt x="239" y="0"/>
              </a:lnTo>
              <a:lnTo>
                <a:pt x="234" y="2"/>
              </a:lnTo>
              <a:lnTo>
                <a:pt x="235" y="8"/>
              </a:lnTo>
              <a:lnTo>
                <a:pt x="233" y="14"/>
              </a:lnTo>
              <a:lnTo>
                <a:pt x="234" y="25"/>
              </a:lnTo>
              <a:lnTo>
                <a:pt x="231" y="32"/>
              </a:lnTo>
              <a:lnTo>
                <a:pt x="228" y="42"/>
              </a:lnTo>
              <a:lnTo>
                <a:pt x="225" y="48"/>
              </a:lnTo>
              <a:lnTo>
                <a:pt x="221" y="48"/>
              </a:lnTo>
              <a:lnTo>
                <a:pt x="218" y="58"/>
              </a:lnTo>
              <a:lnTo>
                <a:pt x="214" y="61"/>
              </a:lnTo>
              <a:lnTo>
                <a:pt x="209" y="60"/>
              </a:lnTo>
              <a:lnTo>
                <a:pt x="208" y="65"/>
              </a:lnTo>
              <a:lnTo>
                <a:pt x="207" y="73"/>
              </a:lnTo>
              <a:lnTo>
                <a:pt x="205" y="78"/>
              </a:lnTo>
              <a:lnTo>
                <a:pt x="203" y="90"/>
              </a:lnTo>
              <a:lnTo>
                <a:pt x="201" y="96"/>
              </a:lnTo>
              <a:lnTo>
                <a:pt x="197" y="97"/>
              </a:lnTo>
              <a:lnTo>
                <a:pt x="189" y="96"/>
              </a:lnTo>
              <a:lnTo>
                <a:pt x="189" y="93"/>
              </a:lnTo>
              <a:lnTo>
                <a:pt x="185" y="89"/>
              </a:lnTo>
              <a:lnTo>
                <a:pt x="180" y="90"/>
              </a:lnTo>
              <a:lnTo>
                <a:pt x="180" y="101"/>
              </a:lnTo>
              <a:lnTo>
                <a:pt x="180" y="108"/>
              </a:lnTo>
              <a:lnTo>
                <a:pt x="178" y="109"/>
              </a:lnTo>
              <a:lnTo>
                <a:pt x="176" y="121"/>
              </a:lnTo>
              <a:lnTo>
                <a:pt x="173" y="126"/>
              </a:lnTo>
              <a:lnTo>
                <a:pt x="172" y="132"/>
              </a:lnTo>
              <a:lnTo>
                <a:pt x="170" y="142"/>
              </a:lnTo>
              <a:lnTo>
                <a:pt x="166" y="150"/>
              </a:lnTo>
              <a:lnTo>
                <a:pt x="162" y="161"/>
              </a:lnTo>
              <a:lnTo>
                <a:pt x="160" y="172"/>
              </a:lnTo>
              <a:lnTo>
                <a:pt x="164" y="177"/>
              </a:lnTo>
              <a:lnTo>
                <a:pt x="160" y="182"/>
              </a:lnTo>
              <a:lnTo>
                <a:pt x="162" y="188"/>
              </a:lnTo>
              <a:lnTo>
                <a:pt x="161" y="189"/>
              </a:lnTo>
              <a:lnTo>
                <a:pt x="153" y="197"/>
              </a:lnTo>
              <a:lnTo>
                <a:pt x="148" y="196"/>
              </a:lnTo>
              <a:lnTo>
                <a:pt x="140" y="205"/>
              </a:lnTo>
              <a:lnTo>
                <a:pt x="134" y="202"/>
              </a:lnTo>
              <a:lnTo>
                <a:pt x="134" y="208"/>
              </a:lnTo>
              <a:lnTo>
                <a:pt x="133" y="212"/>
              </a:lnTo>
              <a:lnTo>
                <a:pt x="129" y="213"/>
              </a:lnTo>
              <a:lnTo>
                <a:pt x="120" y="220"/>
              </a:lnTo>
              <a:lnTo>
                <a:pt x="116" y="220"/>
              </a:lnTo>
              <a:lnTo>
                <a:pt x="109" y="216"/>
              </a:lnTo>
              <a:lnTo>
                <a:pt x="107" y="221"/>
              </a:lnTo>
              <a:lnTo>
                <a:pt x="99" y="229"/>
              </a:lnTo>
              <a:lnTo>
                <a:pt x="93" y="228"/>
              </a:lnTo>
              <a:lnTo>
                <a:pt x="85" y="221"/>
              </a:lnTo>
              <a:lnTo>
                <a:pt x="80" y="216"/>
              </a:lnTo>
              <a:lnTo>
                <a:pt x="77" y="210"/>
              </a:lnTo>
              <a:lnTo>
                <a:pt x="77" y="205"/>
              </a:lnTo>
              <a:lnTo>
                <a:pt x="61" y="229"/>
              </a:lnTo>
              <a:lnTo>
                <a:pt x="47" y="244"/>
              </a:lnTo>
              <a:lnTo>
                <a:pt x="44" y="249"/>
              </a:lnTo>
              <a:lnTo>
                <a:pt x="44" y="256"/>
              </a:lnTo>
              <a:lnTo>
                <a:pt x="39" y="260"/>
              </a:lnTo>
              <a:lnTo>
                <a:pt x="38" y="265"/>
              </a:lnTo>
              <a:lnTo>
                <a:pt x="35" y="270"/>
              </a:lnTo>
              <a:lnTo>
                <a:pt x="31" y="273"/>
              </a:lnTo>
              <a:lnTo>
                <a:pt x="27" y="278"/>
              </a:lnTo>
              <a:lnTo>
                <a:pt x="26" y="284"/>
              </a:lnTo>
              <a:lnTo>
                <a:pt x="16" y="289"/>
              </a:lnTo>
              <a:lnTo>
                <a:pt x="12" y="293"/>
              </a:lnTo>
              <a:lnTo>
                <a:pt x="8" y="294"/>
              </a:lnTo>
              <a:lnTo>
                <a:pt x="0" y="301"/>
              </a:lnTo>
              <a:lnTo>
                <a:pt x="0" y="301"/>
              </a:lnTo>
              <a:lnTo>
                <a:pt x="0" y="301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351A3958-30A1-4293-A389-93DE7D78DEFD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VA
3182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331751</xdr:colOff>
      <xdr:row>14</xdr:row>
      <xdr:rowOff>112210</xdr:rowOff>
    </xdr:from>
    <xdr:to>
      <xdr:col>10</xdr:col>
      <xdr:colOff>219747</xdr:colOff>
      <xdr:row>17</xdr:row>
      <xdr:rowOff>132537</xdr:rowOff>
    </xdr:to>
    <xdr:sp macro="" textlink="data!E62">
      <xdr:nvSpPr>
        <xdr:cNvPr id="222" name="WV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>
          <a:spLocks/>
        </xdr:cNvSpPr>
      </xdr:nvSpPr>
      <xdr:spPr bwMode="auto">
        <a:xfrm>
          <a:off x="6427751" y="2379160"/>
          <a:ext cx="497596" cy="506102"/>
        </a:xfrm>
        <a:custGeom>
          <a:avLst/>
          <a:gdLst>
            <a:gd name="T0" fmla="*/ 2 w 228"/>
            <a:gd name="T1" fmla="*/ 220 h 307"/>
            <a:gd name="T2" fmla="*/ 9 w 228"/>
            <a:gd name="T3" fmla="*/ 248 h 307"/>
            <a:gd name="T4" fmla="*/ 23 w 228"/>
            <a:gd name="T5" fmla="*/ 274 h 307"/>
            <a:gd name="T6" fmla="*/ 40 w 228"/>
            <a:gd name="T7" fmla="*/ 288 h 307"/>
            <a:gd name="T8" fmla="*/ 56 w 228"/>
            <a:gd name="T9" fmla="*/ 306 h 307"/>
            <a:gd name="T10" fmla="*/ 72 w 228"/>
            <a:gd name="T11" fmla="*/ 294 h 307"/>
            <a:gd name="T12" fmla="*/ 92 w 228"/>
            <a:gd name="T13" fmla="*/ 291 h 307"/>
            <a:gd name="T14" fmla="*/ 97 w 228"/>
            <a:gd name="T15" fmla="*/ 280 h 307"/>
            <a:gd name="T16" fmla="*/ 116 w 228"/>
            <a:gd name="T17" fmla="*/ 275 h 307"/>
            <a:gd name="T18" fmla="*/ 123 w 228"/>
            <a:gd name="T19" fmla="*/ 260 h 307"/>
            <a:gd name="T20" fmla="*/ 125 w 228"/>
            <a:gd name="T21" fmla="*/ 239 h 307"/>
            <a:gd name="T22" fmla="*/ 135 w 228"/>
            <a:gd name="T23" fmla="*/ 210 h 307"/>
            <a:gd name="T24" fmla="*/ 141 w 228"/>
            <a:gd name="T25" fmla="*/ 187 h 307"/>
            <a:gd name="T26" fmla="*/ 143 w 228"/>
            <a:gd name="T27" fmla="*/ 168 h 307"/>
            <a:gd name="T28" fmla="*/ 152 w 228"/>
            <a:gd name="T29" fmla="*/ 174 h 307"/>
            <a:gd name="T30" fmla="*/ 166 w 228"/>
            <a:gd name="T31" fmla="*/ 168 h 307"/>
            <a:gd name="T32" fmla="*/ 171 w 228"/>
            <a:gd name="T33" fmla="*/ 143 h 307"/>
            <a:gd name="T34" fmla="*/ 181 w 228"/>
            <a:gd name="T35" fmla="*/ 136 h 307"/>
            <a:gd name="T36" fmla="*/ 191 w 228"/>
            <a:gd name="T37" fmla="*/ 120 h 307"/>
            <a:gd name="T38" fmla="*/ 196 w 228"/>
            <a:gd name="T39" fmla="*/ 92 h 307"/>
            <a:gd name="T40" fmla="*/ 202 w 228"/>
            <a:gd name="T41" fmla="*/ 78 h 307"/>
            <a:gd name="T42" fmla="*/ 228 w 228"/>
            <a:gd name="T43" fmla="*/ 79 h 307"/>
            <a:gd name="T44" fmla="*/ 223 w 228"/>
            <a:gd name="T45" fmla="*/ 66 h 307"/>
            <a:gd name="T46" fmla="*/ 220 w 228"/>
            <a:gd name="T47" fmla="*/ 58 h 307"/>
            <a:gd name="T48" fmla="*/ 204 w 228"/>
            <a:gd name="T49" fmla="*/ 52 h 307"/>
            <a:gd name="T50" fmla="*/ 194 w 228"/>
            <a:gd name="T51" fmla="*/ 60 h 307"/>
            <a:gd name="T52" fmla="*/ 183 w 228"/>
            <a:gd name="T53" fmla="*/ 72 h 307"/>
            <a:gd name="T54" fmla="*/ 174 w 228"/>
            <a:gd name="T55" fmla="*/ 67 h 307"/>
            <a:gd name="T56" fmla="*/ 164 w 228"/>
            <a:gd name="T57" fmla="*/ 83 h 307"/>
            <a:gd name="T58" fmla="*/ 154 w 228"/>
            <a:gd name="T59" fmla="*/ 96 h 307"/>
            <a:gd name="T60" fmla="*/ 144 w 228"/>
            <a:gd name="T61" fmla="*/ 112 h 307"/>
            <a:gd name="T62" fmla="*/ 78 w 228"/>
            <a:gd name="T63" fmla="*/ 0 h 307"/>
            <a:gd name="T64" fmla="*/ 72 w 228"/>
            <a:gd name="T65" fmla="*/ 8 h 307"/>
            <a:gd name="T66" fmla="*/ 76 w 228"/>
            <a:gd name="T67" fmla="*/ 36 h 307"/>
            <a:gd name="T68" fmla="*/ 74 w 228"/>
            <a:gd name="T69" fmla="*/ 66 h 307"/>
            <a:gd name="T70" fmla="*/ 72 w 228"/>
            <a:gd name="T71" fmla="*/ 76 h 307"/>
            <a:gd name="T72" fmla="*/ 66 w 228"/>
            <a:gd name="T73" fmla="*/ 99 h 307"/>
            <a:gd name="T74" fmla="*/ 46 w 228"/>
            <a:gd name="T75" fmla="*/ 116 h 307"/>
            <a:gd name="T76" fmla="*/ 36 w 228"/>
            <a:gd name="T77" fmla="*/ 132 h 307"/>
            <a:gd name="T78" fmla="*/ 32 w 228"/>
            <a:gd name="T79" fmla="*/ 150 h 307"/>
            <a:gd name="T80" fmla="*/ 31 w 228"/>
            <a:gd name="T81" fmla="*/ 166 h 307"/>
            <a:gd name="T82" fmla="*/ 20 w 228"/>
            <a:gd name="T83" fmla="*/ 162 h 307"/>
            <a:gd name="T84" fmla="*/ 17 w 228"/>
            <a:gd name="T85" fmla="*/ 175 h 307"/>
            <a:gd name="T86" fmla="*/ 18 w 228"/>
            <a:gd name="T87" fmla="*/ 194 h 307"/>
            <a:gd name="T88" fmla="*/ 11 w 228"/>
            <a:gd name="T89" fmla="*/ 210 h 307"/>
            <a:gd name="T90" fmla="*/ 0 w 228"/>
            <a:gd name="T91" fmla="*/ 214 h 30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228" h="307">
              <a:moveTo>
                <a:pt x="0" y="214"/>
              </a:moveTo>
              <a:lnTo>
                <a:pt x="1" y="218"/>
              </a:lnTo>
              <a:lnTo>
                <a:pt x="2" y="220"/>
              </a:lnTo>
              <a:lnTo>
                <a:pt x="3" y="226"/>
              </a:lnTo>
              <a:lnTo>
                <a:pt x="1" y="236"/>
              </a:lnTo>
              <a:lnTo>
                <a:pt x="9" y="248"/>
              </a:lnTo>
              <a:lnTo>
                <a:pt x="11" y="254"/>
              </a:lnTo>
              <a:lnTo>
                <a:pt x="15" y="259"/>
              </a:lnTo>
              <a:lnTo>
                <a:pt x="23" y="274"/>
              </a:lnTo>
              <a:lnTo>
                <a:pt x="32" y="282"/>
              </a:lnTo>
              <a:lnTo>
                <a:pt x="40" y="283"/>
              </a:lnTo>
              <a:lnTo>
                <a:pt x="40" y="288"/>
              </a:lnTo>
              <a:lnTo>
                <a:pt x="43" y="294"/>
              </a:lnTo>
              <a:lnTo>
                <a:pt x="48" y="299"/>
              </a:lnTo>
              <a:lnTo>
                <a:pt x="56" y="306"/>
              </a:lnTo>
              <a:lnTo>
                <a:pt x="62" y="307"/>
              </a:lnTo>
              <a:lnTo>
                <a:pt x="70" y="299"/>
              </a:lnTo>
              <a:lnTo>
                <a:pt x="72" y="294"/>
              </a:lnTo>
              <a:lnTo>
                <a:pt x="79" y="298"/>
              </a:lnTo>
              <a:lnTo>
                <a:pt x="83" y="298"/>
              </a:lnTo>
              <a:lnTo>
                <a:pt x="92" y="291"/>
              </a:lnTo>
              <a:lnTo>
                <a:pt x="96" y="290"/>
              </a:lnTo>
              <a:lnTo>
                <a:pt x="97" y="286"/>
              </a:lnTo>
              <a:lnTo>
                <a:pt x="97" y="280"/>
              </a:lnTo>
              <a:lnTo>
                <a:pt x="103" y="283"/>
              </a:lnTo>
              <a:lnTo>
                <a:pt x="111" y="274"/>
              </a:lnTo>
              <a:lnTo>
                <a:pt x="116" y="275"/>
              </a:lnTo>
              <a:lnTo>
                <a:pt x="124" y="267"/>
              </a:lnTo>
              <a:lnTo>
                <a:pt x="125" y="266"/>
              </a:lnTo>
              <a:lnTo>
                <a:pt x="123" y="260"/>
              </a:lnTo>
              <a:lnTo>
                <a:pt x="127" y="255"/>
              </a:lnTo>
              <a:lnTo>
                <a:pt x="123" y="250"/>
              </a:lnTo>
              <a:lnTo>
                <a:pt x="125" y="239"/>
              </a:lnTo>
              <a:lnTo>
                <a:pt x="129" y="228"/>
              </a:lnTo>
              <a:lnTo>
                <a:pt x="133" y="220"/>
              </a:lnTo>
              <a:lnTo>
                <a:pt x="135" y="210"/>
              </a:lnTo>
              <a:lnTo>
                <a:pt x="136" y="204"/>
              </a:lnTo>
              <a:lnTo>
                <a:pt x="139" y="199"/>
              </a:lnTo>
              <a:lnTo>
                <a:pt x="141" y="187"/>
              </a:lnTo>
              <a:lnTo>
                <a:pt x="143" y="186"/>
              </a:lnTo>
              <a:lnTo>
                <a:pt x="143" y="179"/>
              </a:lnTo>
              <a:lnTo>
                <a:pt x="143" y="168"/>
              </a:lnTo>
              <a:lnTo>
                <a:pt x="148" y="167"/>
              </a:lnTo>
              <a:lnTo>
                <a:pt x="152" y="171"/>
              </a:lnTo>
              <a:lnTo>
                <a:pt x="152" y="174"/>
              </a:lnTo>
              <a:lnTo>
                <a:pt x="160" y="175"/>
              </a:lnTo>
              <a:lnTo>
                <a:pt x="164" y="174"/>
              </a:lnTo>
              <a:lnTo>
                <a:pt x="166" y="168"/>
              </a:lnTo>
              <a:lnTo>
                <a:pt x="168" y="156"/>
              </a:lnTo>
              <a:lnTo>
                <a:pt x="170" y="151"/>
              </a:lnTo>
              <a:lnTo>
                <a:pt x="171" y="143"/>
              </a:lnTo>
              <a:lnTo>
                <a:pt x="172" y="138"/>
              </a:lnTo>
              <a:lnTo>
                <a:pt x="177" y="139"/>
              </a:lnTo>
              <a:lnTo>
                <a:pt x="181" y="136"/>
              </a:lnTo>
              <a:lnTo>
                <a:pt x="184" y="126"/>
              </a:lnTo>
              <a:lnTo>
                <a:pt x="188" y="126"/>
              </a:lnTo>
              <a:lnTo>
                <a:pt x="191" y="120"/>
              </a:lnTo>
              <a:lnTo>
                <a:pt x="194" y="110"/>
              </a:lnTo>
              <a:lnTo>
                <a:pt x="197" y="103"/>
              </a:lnTo>
              <a:lnTo>
                <a:pt x="196" y="92"/>
              </a:lnTo>
              <a:lnTo>
                <a:pt x="198" y="86"/>
              </a:lnTo>
              <a:lnTo>
                <a:pt x="197" y="80"/>
              </a:lnTo>
              <a:lnTo>
                <a:pt x="202" y="78"/>
              </a:lnTo>
              <a:lnTo>
                <a:pt x="224" y="95"/>
              </a:lnTo>
              <a:lnTo>
                <a:pt x="227" y="88"/>
              </a:lnTo>
              <a:lnTo>
                <a:pt x="228" y="79"/>
              </a:lnTo>
              <a:lnTo>
                <a:pt x="227" y="75"/>
              </a:lnTo>
              <a:lnTo>
                <a:pt x="224" y="71"/>
              </a:lnTo>
              <a:lnTo>
                <a:pt x="223" y="66"/>
              </a:lnTo>
              <a:lnTo>
                <a:pt x="219" y="64"/>
              </a:lnTo>
              <a:lnTo>
                <a:pt x="221" y="58"/>
              </a:lnTo>
              <a:lnTo>
                <a:pt x="220" y="58"/>
              </a:lnTo>
              <a:lnTo>
                <a:pt x="212" y="59"/>
              </a:lnTo>
              <a:lnTo>
                <a:pt x="208" y="55"/>
              </a:lnTo>
              <a:lnTo>
                <a:pt x="204" y="52"/>
              </a:lnTo>
              <a:lnTo>
                <a:pt x="200" y="55"/>
              </a:lnTo>
              <a:lnTo>
                <a:pt x="198" y="60"/>
              </a:lnTo>
              <a:lnTo>
                <a:pt x="194" y="60"/>
              </a:lnTo>
              <a:lnTo>
                <a:pt x="190" y="67"/>
              </a:lnTo>
              <a:lnTo>
                <a:pt x="190" y="72"/>
              </a:lnTo>
              <a:lnTo>
                <a:pt x="183" y="72"/>
              </a:lnTo>
              <a:lnTo>
                <a:pt x="179" y="72"/>
              </a:lnTo>
              <a:lnTo>
                <a:pt x="175" y="67"/>
              </a:lnTo>
              <a:lnTo>
                <a:pt x="174" y="67"/>
              </a:lnTo>
              <a:lnTo>
                <a:pt x="173" y="72"/>
              </a:lnTo>
              <a:lnTo>
                <a:pt x="168" y="83"/>
              </a:lnTo>
              <a:lnTo>
                <a:pt x="164" y="83"/>
              </a:lnTo>
              <a:lnTo>
                <a:pt x="160" y="84"/>
              </a:lnTo>
              <a:lnTo>
                <a:pt x="158" y="90"/>
              </a:lnTo>
              <a:lnTo>
                <a:pt x="154" y="96"/>
              </a:lnTo>
              <a:lnTo>
                <a:pt x="152" y="102"/>
              </a:lnTo>
              <a:lnTo>
                <a:pt x="148" y="106"/>
              </a:lnTo>
              <a:lnTo>
                <a:pt x="144" y="112"/>
              </a:lnTo>
              <a:lnTo>
                <a:pt x="139" y="67"/>
              </a:lnTo>
              <a:lnTo>
                <a:pt x="88" y="79"/>
              </a:lnTo>
              <a:lnTo>
                <a:pt x="78" y="0"/>
              </a:lnTo>
              <a:lnTo>
                <a:pt x="75" y="3"/>
              </a:lnTo>
              <a:lnTo>
                <a:pt x="73" y="3"/>
              </a:lnTo>
              <a:lnTo>
                <a:pt x="72" y="8"/>
              </a:lnTo>
              <a:lnTo>
                <a:pt x="75" y="14"/>
              </a:lnTo>
              <a:lnTo>
                <a:pt x="78" y="30"/>
              </a:lnTo>
              <a:lnTo>
                <a:pt x="76" y="36"/>
              </a:lnTo>
              <a:lnTo>
                <a:pt x="74" y="52"/>
              </a:lnTo>
              <a:lnTo>
                <a:pt x="75" y="58"/>
              </a:lnTo>
              <a:lnTo>
                <a:pt x="74" y="66"/>
              </a:lnTo>
              <a:lnTo>
                <a:pt x="72" y="66"/>
              </a:lnTo>
              <a:lnTo>
                <a:pt x="73" y="71"/>
              </a:lnTo>
              <a:lnTo>
                <a:pt x="72" y="76"/>
              </a:lnTo>
              <a:lnTo>
                <a:pt x="73" y="82"/>
              </a:lnTo>
              <a:lnTo>
                <a:pt x="71" y="92"/>
              </a:lnTo>
              <a:lnTo>
                <a:pt x="66" y="99"/>
              </a:lnTo>
              <a:lnTo>
                <a:pt x="61" y="110"/>
              </a:lnTo>
              <a:lnTo>
                <a:pt x="53" y="120"/>
              </a:lnTo>
              <a:lnTo>
                <a:pt x="46" y="116"/>
              </a:lnTo>
              <a:lnTo>
                <a:pt x="42" y="123"/>
              </a:lnTo>
              <a:lnTo>
                <a:pt x="42" y="128"/>
              </a:lnTo>
              <a:lnTo>
                <a:pt x="36" y="132"/>
              </a:lnTo>
              <a:lnTo>
                <a:pt x="34" y="138"/>
              </a:lnTo>
              <a:lnTo>
                <a:pt x="34" y="144"/>
              </a:lnTo>
              <a:lnTo>
                <a:pt x="32" y="150"/>
              </a:lnTo>
              <a:lnTo>
                <a:pt x="35" y="155"/>
              </a:lnTo>
              <a:lnTo>
                <a:pt x="32" y="160"/>
              </a:lnTo>
              <a:lnTo>
                <a:pt x="31" y="166"/>
              </a:lnTo>
              <a:lnTo>
                <a:pt x="26" y="158"/>
              </a:lnTo>
              <a:lnTo>
                <a:pt x="23" y="155"/>
              </a:lnTo>
              <a:lnTo>
                <a:pt x="20" y="162"/>
              </a:lnTo>
              <a:lnTo>
                <a:pt x="18" y="167"/>
              </a:lnTo>
              <a:lnTo>
                <a:pt x="18" y="172"/>
              </a:lnTo>
              <a:lnTo>
                <a:pt x="17" y="175"/>
              </a:lnTo>
              <a:lnTo>
                <a:pt x="16" y="180"/>
              </a:lnTo>
              <a:lnTo>
                <a:pt x="17" y="183"/>
              </a:lnTo>
              <a:lnTo>
                <a:pt x="18" y="194"/>
              </a:lnTo>
              <a:lnTo>
                <a:pt x="14" y="198"/>
              </a:lnTo>
              <a:lnTo>
                <a:pt x="14" y="204"/>
              </a:lnTo>
              <a:lnTo>
                <a:pt x="11" y="210"/>
              </a:lnTo>
              <a:lnTo>
                <a:pt x="5" y="212"/>
              </a:lnTo>
              <a:lnTo>
                <a:pt x="1" y="214"/>
              </a:lnTo>
              <a:lnTo>
                <a:pt x="0" y="214"/>
              </a:lnTo>
              <a:lnTo>
                <a:pt x="0" y="214"/>
              </a:lnTo>
              <a:lnTo>
                <a:pt x="0" y="214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E0FE0F09-C8F3-4507-A094-60848F2AD795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WV
3237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297220</xdr:colOff>
      <xdr:row>19</xdr:row>
      <xdr:rowOff>93635</xdr:rowOff>
    </xdr:from>
    <xdr:to>
      <xdr:col>10</xdr:col>
      <xdr:colOff>261769</xdr:colOff>
      <xdr:row>22</xdr:row>
      <xdr:rowOff>50167</xdr:rowOff>
    </xdr:to>
    <xdr:sp macro="" textlink="data!E52">
      <xdr:nvSpPr>
        <xdr:cNvPr id="223" name="SC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>
          <a:spLocks/>
        </xdr:cNvSpPr>
      </xdr:nvSpPr>
      <xdr:spPr bwMode="auto">
        <a:xfrm>
          <a:off x="6175506" y="3092649"/>
          <a:ext cx="617692" cy="430061"/>
        </a:xfrm>
        <a:custGeom>
          <a:avLst/>
          <a:gdLst>
            <a:gd name="T0" fmla="*/ 1 w 258"/>
            <a:gd name="T1" fmla="*/ 54 h 263"/>
            <a:gd name="T2" fmla="*/ 6 w 258"/>
            <a:gd name="T3" fmla="*/ 68 h 263"/>
            <a:gd name="T4" fmla="*/ 24 w 258"/>
            <a:gd name="T5" fmla="*/ 77 h 263"/>
            <a:gd name="T6" fmla="*/ 35 w 258"/>
            <a:gd name="T7" fmla="*/ 93 h 263"/>
            <a:gd name="T8" fmla="*/ 55 w 258"/>
            <a:gd name="T9" fmla="*/ 123 h 263"/>
            <a:gd name="T10" fmla="*/ 70 w 258"/>
            <a:gd name="T11" fmla="*/ 141 h 263"/>
            <a:gd name="T12" fmla="*/ 83 w 258"/>
            <a:gd name="T13" fmla="*/ 151 h 263"/>
            <a:gd name="T14" fmla="*/ 88 w 258"/>
            <a:gd name="T15" fmla="*/ 163 h 263"/>
            <a:gd name="T16" fmla="*/ 98 w 258"/>
            <a:gd name="T17" fmla="*/ 174 h 263"/>
            <a:gd name="T18" fmla="*/ 106 w 258"/>
            <a:gd name="T19" fmla="*/ 182 h 263"/>
            <a:gd name="T20" fmla="*/ 120 w 258"/>
            <a:gd name="T21" fmla="*/ 202 h 263"/>
            <a:gd name="T22" fmla="*/ 123 w 258"/>
            <a:gd name="T23" fmla="*/ 219 h 263"/>
            <a:gd name="T24" fmla="*/ 136 w 258"/>
            <a:gd name="T25" fmla="*/ 231 h 263"/>
            <a:gd name="T26" fmla="*/ 141 w 258"/>
            <a:gd name="T27" fmla="*/ 249 h 263"/>
            <a:gd name="T28" fmla="*/ 153 w 258"/>
            <a:gd name="T29" fmla="*/ 261 h 263"/>
            <a:gd name="T30" fmla="*/ 159 w 258"/>
            <a:gd name="T31" fmla="*/ 253 h 263"/>
            <a:gd name="T32" fmla="*/ 163 w 258"/>
            <a:gd name="T33" fmla="*/ 253 h 263"/>
            <a:gd name="T34" fmla="*/ 160 w 258"/>
            <a:gd name="T35" fmla="*/ 239 h 263"/>
            <a:gd name="T36" fmla="*/ 158 w 258"/>
            <a:gd name="T37" fmla="*/ 227 h 263"/>
            <a:gd name="T38" fmla="*/ 164 w 258"/>
            <a:gd name="T39" fmla="*/ 226 h 263"/>
            <a:gd name="T40" fmla="*/ 175 w 258"/>
            <a:gd name="T41" fmla="*/ 235 h 263"/>
            <a:gd name="T42" fmla="*/ 176 w 258"/>
            <a:gd name="T43" fmla="*/ 226 h 263"/>
            <a:gd name="T44" fmla="*/ 166 w 258"/>
            <a:gd name="T45" fmla="*/ 221 h 263"/>
            <a:gd name="T46" fmla="*/ 176 w 258"/>
            <a:gd name="T47" fmla="*/ 218 h 263"/>
            <a:gd name="T48" fmla="*/ 188 w 258"/>
            <a:gd name="T49" fmla="*/ 210 h 263"/>
            <a:gd name="T50" fmla="*/ 193 w 258"/>
            <a:gd name="T51" fmla="*/ 206 h 263"/>
            <a:gd name="T52" fmla="*/ 202 w 258"/>
            <a:gd name="T53" fmla="*/ 198 h 263"/>
            <a:gd name="T54" fmla="*/ 198 w 258"/>
            <a:gd name="T55" fmla="*/ 182 h 263"/>
            <a:gd name="T56" fmla="*/ 207 w 258"/>
            <a:gd name="T57" fmla="*/ 186 h 263"/>
            <a:gd name="T58" fmla="*/ 216 w 258"/>
            <a:gd name="T59" fmla="*/ 173 h 263"/>
            <a:gd name="T60" fmla="*/ 221 w 258"/>
            <a:gd name="T61" fmla="*/ 163 h 263"/>
            <a:gd name="T62" fmla="*/ 230 w 258"/>
            <a:gd name="T63" fmla="*/ 150 h 263"/>
            <a:gd name="T64" fmla="*/ 234 w 258"/>
            <a:gd name="T65" fmla="*/ 145 h 263"/>
            <a:gd name="T66" fmla="*/ 228 w 258"/>
            <a:gd name="T67" fmla="*/ 130 h 263"/>
            <a:gd name="T68" fmla="*/ 228 w 258"/>
            <a:gd name="T69" fmla="*/ 134 h 263"/>
            <a:gd name="T70" fmla="*/ 234 w 258"/>
            <a:gd name="T71" fmla="*/ 123 h 263"/>
            <a:gd name="T72" fmla="*/ 254 w 258"/>
            <a:gd name="T73" fmla="*/ 82 h 263"/>
            <a:gd name="T74" fmla="*/ 256 w 258"/>
            <a:gd name="T75" fmla="*/ 74 h 263"/>
            <a:gd name="T76" fmla="*/ 131 w 258"/>
            <a:gd name="T77" fmla="*/ 22 h 263"/>
            <a:gd name="T78" fmla="*/ 122 w 258"/>
            <a:gd name="T79" fmla="*/ 2 h 263"/>
            <a:gd name="T80" fmla="*/ 97 w 258"/>
            <a:gd name="T81" fmla="*/ 1 h 263"/>
            <a:gd name="T82" fmla="*/ 42 w 258"/>
            <a:gd name="T83" fmla="*/ 13 h 263"/>
            <a:gd name="T84" fmla="*/ 23 w 258"/>
            <a:gd name="T85" fmla="*/ 25 h 263"/>
            <a:gd name="T86" fmla="*/ 10 w 258"/>
            <a:gd name="T87" fmla="*/ 34 h 2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</a:cxnLst>
          <a:rect l="0" t="0" r="r" b="b"/>
          <a:pathLst>
            <a:path w="258" h="263">
              <a:moveTo>
                <a:pt x="10" y="34"/>
              </a:moveTo>
              <a:lnTo>
                <a:pt x="9" y="38"/>
              </a:lnTo>
              <a:lnTo>
                <a:pt x="1" y="54"/>
              </a:lnTo>
              <a:lnTo>
                <a:pt x="0" y="60"/>
              </a:lnTo>
              <a:lnTo>
                <a:pt x="2" y="65"/>
              </a:lnTo>
              <a:lnTo>
                <a:pt x="6" y="68"/>
              </a:lnTo>
              <a:lnTo>
                <a:pt x="10" y="69"/>
              </a:lnTo>
              <a:lnTo>
                <a:pt x="18" y="77"/>
              </a:lnTo>
              <a:lnTo>
                <a:pt x="24" y="77"/>
              </a:lnTo>
              <a:lnTo>
                <a:pt x="29" y="81"/>
              </a:lnTo>
              <a:lnTo>
                <a:pt x="31" y="86"/>
              </a:lnTo>
              <a:lnTo>
                <a:pt x="35" y="93"/>
              </a:lnTo>
              <a:lnTo>
                <a:pt x="36" y="98"/>
              </a:lnTo>
              <a:lnTo>
                <a:pt x="47" y="115"/>
              </a:lnTo>
              <a:lnTo>
                <a:pt x="55" y="123"/>
              </a:lnTo>
              <a:lnTo>
                <a:pt x="63" y="129"/>
              </a:lnTo>
              <a:lnTo>
                <a:pt x="67" y="134"/>
              </a:lnTo>
              <a:lnTo>
                <a:pt x="70" y="141"/>
              </a:lnTo>
              <a:lnTo>
                <a:pt x="73" y="143"/>
              </a:lnTo>
              <a:lnTo>
                <a:pt x="77" y="145"/>
              </a:lnTo>
              <a:lnTo>
                <a:pt x="83" y="151"/>
              </a:lnTo>
              <a:lnTo>
                <a:pt x="87" y="154"/>
              </a:lnTo>
              <a:lnTo>
                <a:pt x="87" y="158"/>
              </a:lnTo>
              <a:lnTo>
                <a:pt x="88" y="163"/>
              </a:lnTo>
              <a:lnTo>
                <a:pt x="92" y="166"/>
              </a:lnTo>
              <a:lnTo>
                <a:pt x="93" y="171"/>
              </a:lnTo>
              <a:lnTo>
                <a:pt x="98" y="174"/>
              </a:lnTo>
              <a:lnTo>
                <a:pt x="98" y="174"/>
              </a:lnTo>
              <a:lnTo>
                <a:pt x="102" y="179"/>
              </a:lnTo>
              <a:lnTo>
                <a:pt x="106" y="182"/>
              </a:lnTo>
              <a:lnTo>
                <a:pt x="114" y="189"/>
              </a:lnTo>
              <a:lnTo>
                <a:pt x="115" y="194"/>
              </a:lnTo>
              <a:lnTo>
                <a:pt x="120" y="202"/>
              </a:lnTo>
              <a:lnTo>
                <a:pt x="122" y="209"/>
              </a:lnTo>
              <a:lnTo>
                <a:pt x="122" y="213"/>
              </a:lnTo>
              <a:lnTo>
                <a:pt x="123" y="219"/>
              </a:lnTo>
              <a:lnTo>
                <a:pt x="127" y="223"/>
              </a:lnTo>
              <a:lnTo>
                <a:pt x="133" y="226"/>
              </a:lnTo>
              <a:lnTo>
                <a:pt x="136" y="231"/>
              </a:lnTo>
              <a:lnTo>
                <a:pt x="138" y="238"/>
              </a:lnTo>
              <a:lnTo>
                <a:pt x="141" y="243"/>
              </a:lnTo>
              <a:lnTo>
                <a:pt x="141" y="249"/>
              </a:lnTo>
              <a:lnTo>
                <a:pt x="142" y="254"/>
              </a:lnTo>
              <a:lnTo>
                <a:pt x="144" y="259"/>
              </a:lnTo>
              <a:lnTo>
                <a:pt x="153" y="261"/>
              </a:lnTo>
              <a:lnTo>
                <a:pt x="155" y="263"/>
              </a:lnTo>
              <a:lnTo>
                <a:pt x="157" y="263"/>
              </a:lnTo>
              <a:lnTo>
                <a:pt x="159" y="253"/>
              </a:lnTo>
              <a:lnTo>
                <a:pt x="160" y="247"/>
              </a:lnTo>
              <a:lnTo>
                <a:pt x="160" y="253"/>
              </a:lnTo>
              <a:lnTo>
                <a:pt x="163" y="253"/>
              </a:lnTo>
              <a:lnTo>
                <a:pt x="166" y="247"/>
              </a:lnTo>
              <a:lnTo>
                <a:pt x="162" y="242"/>
              </a:lnTo>
              <a:lnTo>
                <a:pt x="160" y="239"/>
              </a:lnTo>
              <a:lnTo>
                <a:pt x="159" y="234"/>
              </a:lnTo>
              <a:lnTo>
                <a:pt x="155" y="223"/>
              </a:lnTo>
              <a:lnTo>
                <a:pt x="158" y="227"/>
              </a:lnTo>
              <a:lnTo>
                <a:pt x="160" y="233"/>
              </a:lnTo>
              <a:lnTo>
                <a:pt x="164" y="237"/>
              </a:lnTo>
              <a:lnTo>
                <a:pt x="164" y="226"/>
              </a:lnTo>
              <a:lnTo>
                <a:pt x="167" y="237"/>
              </a:lnTo>
              <a:lnTo>
                <a:pt x="171" y="239"/>
              </a:lnTo>
              <a:lnTo>
                <a:pt x="175" y="235"/>
              </a:lnTo>
              <a:lnTo>
                <a:pt x="177" y="226"/>
              </a:lnTo>
              <a:lnTo>
                <a:pt x="173" y="231"/>
              </a:lnTo>
              <a:lnTo>
                <a:pt x="176" y="226"/>
              </a:lnTo>
              <a:lnTo>
                <a:pt x="175" y="223"/>
              </a:lnTo>
              <a:lnTo>
                <a:pt x="170" y="223"/>
              </a:lnTo>
              <a:lnTo>
                <a:pt x="166" y="221"/>
              </a:lnTo>
              <a:lnTo>
                <a:pt x="163" y="221"/>
              </a:lnTo>
              <a:lnTo>
                <a:pt x="171" y="217"/>
              </a:lnTo>
              <a:lnTo>
                <a:pt x="176" y="218"/>
              </a:lnTo>
              <a:lnTo>
                <a:pt x="180" y="215"/>
              </a:lnTo>
              <a:lnTo>
                <a:pt x="184" y="215"/>
              </a:lnTo>
              <a:lnTo>
                <a:pt x="188" y="210"/>
              </a:lnTo>
              <a:lnTo>
                <a:pt x="185" y="207"/>
              </a:lnTo>
              <a:lnTo>
                <a:pt x="189" y="210"/>
              </a:lnTo>
              <a:lnTo>
                <a:pt x="193" y="206"/>
              </a:lnTo>
              <a:lnTo>
                <a:pt x="198" y="203"/>
              </a:lnTo>
              <a:lnTo>
                <a:pt x="198" y="201"/>
              </a:lnTo>
              <a:lnTo>
                <a:pt x="202" y="198"/>
              </a:lnTo>
              <a:lnTo>
                <a:pt x="204" y="193"/>
              </a:lnTo>
              <a:lnTo>
                <a:pt x="200" y="190"/>
              </a:lnTo>
              <a:lnTo>
                <a:pt x="198" y="182"/>
              </a:lnTo>
              <a:lnTo>
                <a:pt x="202" y="182"/>
              </a:lnTo>
              <a:lnTo>
                <a:pt x="203" y="187"/>
              </a:lnTo>
              <a:lnTo>
                <a:pt x="207" y="186"/>
              </a:lnTo>
              <a:lnTo>
                <a:pt x="211" y="181"/>
              </a:lnTo>
              <a:lnTo>
                <a:pt x="213" y="175"/>
              </a:lnTo>
              <a:lnTo>
                <a:pt x="216" y="173"/>
              </a:lnTo>
              <a:lnTo>
                <a:pt x="214" y="167"/>
              </a:lnTo>
              <a:lnTo>
                <a:pt x="217" y="162"/>
              </a:lnTo>
              <a:lnTo>
                <a:pt x="221" y="163"/>
              </a:lnTo>
              <a:lnTo>
                <a:pt x="225" y="162"/>
              </a:lnTo>
              <a:lnTo>
                <a:pt x="227" y="157"/>
              </a:lnTo>
              <a:lnTo>
                <a:pt x="230" y="150"/>
              </a:lnTo>
              <a:lnTo>
                <a:pt x="227" y="149"/>
              </a:lnTo>
              <a:lnTo>
                <a:pt x="231" y="150"/>
              </a:lnTo>
              <a:lnTo>
                <a:pt x="234" y="145"/>
              </a:lnTo>
              <a:lnTo>
                <a:pt x="231" y="139"/>
              </a:lnTo>
              <a:lnTo>
                <a:pt x="227" y="135"/>
              </a:lnTo>
              <a:lnTo>
                <a:pt x="228" y="130"/>
              </a:lnTo>
              <a:lnTo>
                <a:pt x="230" y="123"/>
              </a:lnTo>
              <a:lnTo>
                <a:pt x="231" y="122"/>
              </a:lnTo>
              <a:lnTo>
                <a:pt x="228" y="134"/>
              </a:lnTo>
              <a:lnTo>
                <a:pt x="232" y="135"/>
              </a:lnTo>
              <a:lnTo>
                <a:pt x="234" y="141"/>
              </a:lnTo>
              <a:lnTo>
                <a:pt x="234" y="123"/>
              </a:lnTo>
              <a:lnTo>
                <a:pt x="236" y="117"/>
              </a:lnTo>
              <a:lnTo>
                <a:pt x="245" y="95"/>
              </a:lnTo>
              <a:lnTo>
                <a:pt x="254" y="82"/>
              </a:lnTo>
              <a:lnTo>
                <a:pt x="258" y="79"/>
              </a:lnTo>
              <a:lnTo>
                <a:pt x="258" y="77"/>
              </a:lnTo>
              <a:lnTo>
                <a:pt x="256" y="74"/>
              </a:lnTo>
              <a:lnTo>
                <a:pt x="190" y="12"/>
              </a:lnTo>
              <a:lnTo>
                <a:pt x="132" y="24"/>
              </a:lnTo>
              <a:lnTo>
                <a:pt x="131" y="22"/>
              </a:lnTo>
              <a:lnTo>
                <a:pt x="131" y="17"/>
              </a:lnTo>
              <a:lnTo>
                <a:pt x="129" y="12"/>
              </a:lnTo>
              <a:lnTo>
                <a:pt x="122" y="2"/>
              </a:lnTo>
              <a:lnTo>
                <a:pt x="118" y="5"/>
              </a:lnTo>
              <a:lnTo>
                <a:pt x="114" y="0"/>
              </a:lnTo>
              <a:lnTo>
                <a:pt x="97" y="1"/>
              </a:lnTo>
              <a:lnTo>
                <a:pt x="50" y="8"/>
              </a:lnTo>
              <a:lnTo>
                <a:pt x="46" y="9"/>
              </a:lnTo>
              <a:lnTo>
                <a:pt x="42" y="13"/>
              </a:lnTo>
              <a:lnTo>
                <a:pt x="34" y="17"/>
              </a:lnTo>
              <a:lnTo>
                <a:pt x="28" y="25"/>
              </a:lnTo>
              <a:lnTo>
                <a:pt x="23" y="25"/>
              </a:lnTo>
              <a:lnTo>
                <a:pt x="10" y="34"/>
              </a:lnTo>
              <a:lnTo>
                <a:pt x="10" y="34"/>
              </a:lnTo>
              <a:lnTo>
                <a:pt x="10" y="34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EC2EC644-3EA8-40C0-A570-EA528C73B9B1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SC
4710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472099</xdr:colOff>
      <xdr:row>12</xdr:row>
      <xdr:rowOff>150430</xdr:rowOff>
    </xdr:from>
    <xdr:to>
      <xdr:col>10</xdr:col>
      <xdr:colOff>513201</xdr:colOff>
      <xdr:row>15</xdr:row>
      <xdr:rowOff>94203</xdr:rowOff>
    </xdr:to>
    <xdr:sp macro="" textlink="data!E49">
      <xdr:nvSpPr>
        <xdr:cNvPr id="224" name="PA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SpPr>
          <a:spLocks/>
        </xdr:cNvSpPr>
      </xdr:nvSpPr>
      <xdr:spPr bwMode="auto">
        <a:xfrm>
          <a:off x="6350385" y="2044544"/>
          <a:ext cx="694245" cy="417302"/>
        </a:xfrm>
        <a:custGeom>
          <a:avLst/>
          <a:gdLst>
            <a:gd name="T0" fmla="*/ 1 w 298"/>
            <a:gd name="T1" fmla="*/ 71 h 260"/>
            <a:gd name="T2" fmla="*/ 25 w 298"/>
            <a:gd name="T3" fmla="*/ 260 h 260"/>
            <a:gd name="T4" fmla="*/ 160 w 298"/>
            <a:gd name="T5" fmla="*/ 227 h 260"/>
            <a:gd name="T6" fmla="*/ 256 w 298"/>
            <a:gd name="T7" fmla="*/ 195 h 260"/>
            <a:gd name="T8" fmla="*/ 262 w 298"/>
            <a:gd name="T9" fmla="*/ 185 h 260"/>
            <a:gd name="T10" fmla="*/ 269 w 298"/>
            <a:gd name="T11" fmla="*/ 185 h 260"/>
            <a:gd name="T12" fmla="*/ 275 w 298"/>
            <a:gd name="T13" fmla="*/ 181 h 260"/>
            <a:gd name="T14" fmla="*/ 283 w 298"/>
            <a:gd name="T15" fmla="*/ 175 h 260"/>
            <a:gd name="T16" fmla="*/ 286 w 298"/>
            <a:gd name="T17" fmla="*/ 166 h 260"/>
            <a:gd name="T18" fmla="*/ 286 w 298"/>
            <a:gd name="T19" fmla="*/ 164 h 260"/>
            <a:gd name="T20" fmla="*/ 291 w 298"/>
            <a:gd name="T21" fmla="*/ 158 h 260"/>
            <a:gd name="T22" fmla="*/ 298 w 298"/>
            <a:gd name="T23" fmla="*/ 147 h 260"/>
            <a:gd name="T24" fmla="*/ 284 w 298"/>
            <a:gd name="T25" fmla="*/ 131 h 260"/>
            <a:gd name="T26" fmla="*/ 278 w 298"/>
            <a:gd name="T27" fmla="*/ 127 h 260"/>
            <a:gd name="T28" fmla="*/ 273 w 298"/>
            <a:gd name="T29" fmla="*/ 119 h 260"/>
            <a:gd name="T30" fmla="*/ 268 w 298"/>
            <a:gd name="T31" fmla="*/ 104 h 260"/>
            <a:gd name="T32" fmla="*/ 272 w 298"/>
            <a:gd name="T33" fmla="*/ 94 h 260"/>
            <a:gd name="T34" fmla="*/ 269 w 298"/>
            <a:gd name="T35" fmla="*/ 87 h 260"/>
            <a:gd name="T36" fmla="*/ 271 w 298"/>
            <a:gd name="T37" fmla="*/ 78 h 260"/>
            <a:gd name="T38" fmla="*/ 276 w 298"/>
            <a:gd name="T39" fmla="*/ 58 h 260"/>
            <a:gd name="T40" fmla="*/ 282 w 298"/>
            <a:gd name="T41" fmla="*/ 46 h 260"/>
            <a:gd name="T42" fmla="*/ 277 w 298"/>
            <a:gd name="T43" fmla="*/ 42 h 260"/>
            <a:gd name="T44" fmla="*/ 266 w 298"/>
            <a:gd name="T45" fmla="*/ 36 h 260"/>
            <a:gd name="T46" fmla="*/ 261 w 298"/>
            <a:gd name="T47" fmla="*/ 26 h 260"/>
            <a:gd name="T48" fmla="*/ 253 w 298"/>
            <a:gd name="T49" fmla="*/ 8 h 260"/>
            <a:gd name="T50" fmla="*/ 247 w 298"/>
            <a:gd name="T51" fmla="*/ 4 h 260"/>
            <a:gd name="T52" fmla="*/ 243 w 298"/>
            <a:gd name="T53" fmla="*/ 0 h 260"/>
            <a:gd name="T54" fmla="*/ 133 w 298"/>
            <a:gd name="T55" fmla="*/ 32 h 260"/>
            <a:gd name="T56" fmla="*/ 36 w 298"/>
            <a:gd name="T57" fmla="*/ 58 h 260"/>
            <a:gd name="T58" fmla="*/ 32 w 298"/>
            <a:gd name="T59" fmla="*/ 35 h 260"/>
            <a:gd name="T60" fmla="*/ 18 w 298"/>
            <a:gd name="T61" fmla="*/ 48 h 260"/>
            <a:gd name="T62" fmla="*/ 6 w 298"/>
            <a:gd name="T63" fmla="*/ 63 h 260"/>
            <a:gd name="T64" fmla="*/ 0 w 298"/>
            <a:gd name="T65" fmla="*/ 67 h 2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298" h="260">
              <a:moveTo>
                <a:pt x="0" y="67"/>
              </a:moveTo>
              <a:lnTo>
                <a:pt x="1" y="71"/>
              </a:lnTo>
              <a:lnTo>
                <a:pt x="15" y="181"/>
              </a:lnTo>
              <a:lnTo>
                <a:pt x="25" y="260"/>
              </a:lnTo>
              <a:lnTo>
                <a:pt x="76" y="248"/>
              </a:lnTo>
              <a:lnTo>
                <a:pt x="160" y="227"/>
              </a:lnTo>
              <a:lnTo>
                <a:pt x="255" y="200"/>
              </a:lnTo>
              <a:lnTo>
                <a:pt x="256" y="195"/>
              </a:lnTo>
              <a:lnTo>
                <a:pt x="258" y="189"/>
              </a:lnTo>
              <a:lnTo>
                <a:pt x="262" y="185"/>
              </a:lnTo>
              <a:lnTo>
                <a:pt x="266" y="185"/>
              </a:lnTo>
              <a:lnTo>
                <a:pt x="269" y="185"/>
              </a:lnTo>
              <a:lnTo>
                <a:pt x="271" y="187"/>
              </a:lnTo>
              <a:lnTo>
                <a:pt x="275" y="181"/>
              </a:lnTo>
              <a:lnTo>
                <a:pt x="279" y="180"/>
              </a:lnTo>
              <a:lnTo>
                <a:pt x="283" y="175"/>
              </a:lnTo>
              <a:lnTo>
                <a:pt x="283" y="170"/>
              </a:lnTo>
              <a:lnTo>
                <a:pt x="286" y="166"/>
              </a:lnTo>
              <a:lnTo>
                <a:pt x="286" y="164"/>
              </a:lnTo>
              <a:lnTo>
                <a:pt x="286" y="164"/>
              </a:lnTo>
              <a:lnTo>
                <a:pt x="288" y="163"/>
              </a:lnTo>
              <a:lnTo>
                <a:pt x="291" y="158"/>
              </a:lnTo>
              <a:lnTo>
                <a:pt x="296" y="152"/>
              </a:lnTo>
              <a:lnTo>
                <a:pt x="298" y="147"/>
              </a:lnTo>
              <a:lnTo>
                <a:pt x="288" y="136"/>
              </a:lnTo>
              <a:lnTo>
                <a:pt x="284" y="131"/>
              </a:lnTo>
              <a:lnTo>
                <a:pt x="282" y="131"/>
              </a:lnTo>
              <a:lnTo>
                <a:pt x="278" y="127"/>
              </a:lnTo>
              <a:lnTo>
                <a:pt x="277" y="122"/>
              </a:lnTo>
              <a:lnTo>
                <a:pt x="273" y="119"/>
              </a:lnTo>
              <a:lnTo>
                <a:pt x="269" y="114"/>
              </a:lnTo>
              <a:lnTo>
                <a:pt x="268" y="104"/>
              </a:lnTo>
              <a:lnTo>
                <a:pt x="271" y="99"/>
              </a:lnTo>
              <a:lnTo>
                <a:pt x="272" y="94"/>
              </a:lnTo>
              <a:lnTo>
                <a:pt x="270" y="88"/>
              </a:lnTo>
              <a:lnTo>
                <a:pt x="269" y="87"/>
              </a:lnTo>
              <a:lnTo>
                <a:pt x="267" y="83"/>
              </a:lnTo>
              <a:lnTo>
                <a:pt x="271" y="78"/>
              </a:lnTo>
              <a:lnTo>
                <a:pt x="276" y="63"/>
              </a:lnTo>
              <a:lnTo>
                <a:pt x="276" y="58"/>
              </a:lnTo>
              <a:lnTo>
                <a:pt x="278" y="52"/>
              </a:lnTo>
              <a:lnTo>
                <a:pt x="282" y="46"/>
              </a:lnTo>
              <a:lnTo>
                <a:pt x="282" y="44"/>
              </a:lnTo>
              <a:lnTo>
                <a:pt x="277" y="42"/>
              </a:lnTo>
              <a:lnTo>
                <a:pt x="273" y="40"/>
              </a:lnTo>
              <a:lnTo>
                <a:pt x="266" y="36"/>
              </a:lnTo>
              <a:lnTo>
                <a:pt x="262" y="31"/>
              </a:lnTo>
              <a:lnTo>
                <a:pt x="261" y="26"/>
              </a:lnTo>
              <a:lnTo>
                <a:pt x="257" y="14"/>
              </a:lnTo>
              <a:lnTo>
                <a:pt x="253" y="8"/>
              </a:lnTo>
              <a:lnTo>
                <a:pt x="249" y="10"/>
              </a:lnTo>
              <a:lnTo>
                <a:pt x="247" y="4"/>
              </a:lnTo>
              <a:lnTo>
                <a:pt x="243" y="2"/>
              </a:lnTo>
              <a:lnTo>
                <a:pt x="243" y="0"/>
              </a:lnTo>
              <a:lnTo>
                <a:pt x="199" y="14"/>
              </a:lnTo>
              <a:lnTo>
                <a:pt x="133" y="32"/>
              </a:lnTo>
              <a:lnTo>
                <a:pt x="74" y="48"/>
              </a:lnTo>
              <a:lnTo>
                <a:pt x="36" y="58"/>
              </a:lnTo>
              <a:lnTo>
                <a:pt x="33" y="36"/>
              </a:lnTo>
              <a:lnTo>
                <a:pt x="32" y="35"/>
              </a:lnTo>
              <a:lnTo>
                <a:pt x="19" y="50"/>
              </a:lnTo>
              <a:lnTo>
                <a:pt x="18" y="48"/>
              </a:lnTo>
              <a:lnTo>
                <a:pt x="14" y="54"/>
              </a:lnTo>
              <a:lnTo>
                <a:pt x="6" y="63"/>
              </a:lnTo>
              <a:lnTo>
                <a:pt x="0" y="67"/>
              </a:lnTo>
              <a:lnTo>
                <a:pt x="0" y="67"/>
              </a:lnTo>
              <a:lnTo>
                <a:pt x="0" y="67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A3F9A3C3-FB3F-4700-928B-10FA5B4F3D6B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PA
3477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28364</xdr:colOff>
      <xdr:row>14</xdr:row>
      <xdr:rowOff>150487</xdr:rowOff>
    </xdr:from>
    <xdr:to>
      <xdr:col>10</xdr:col>
      <xdr:colOff>525960</xdr:colOff>
      <xdr:row>16</xdr:row>
      <xdr:rowOff>73308</xdr:rowOff>
    </xdr:to>
    <xdr:sp macro="" textlink="data!E31">
      <xdr:nvSpPr>
        <xdr:cNvPr id="227" name="MD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>
          <a:spLocks/>
        </xdr:cNvSpPr>
      </xdr:nvSpPr>
      <xdr:spPr bwMode="auto">
        <a:xfrm>
          <a:off x="6733964" y="2417437"/>
          <a:ext cx="497596" cy="246671"/>
        </a:xfrm>
        <a:custGeom>
          <a:avLst/>
          <a:gdLst>
            <a:gd name="T0" fmla="*/ 9 w 232"/>
            <a:gd name="T1" fmla="*/ 87 h 151"/>
            <a:gd name="T2" fmla="*/ 19 w 232"/>
            <a:gd name="T3" fmla="*/ 71 h 151"/>
            <a:gd name="T4" fmla="*/ 29 w 232"/>
            <a:gd name="T5" fmla="*/ 64 h 151"/>
            <a:gd name="T6" fmla="*/ 36 w 232"/>
            <a:gd name="T7" fmla="*/ 48 h 151"/>
            <a:gd name="T8" fmla="*/ 51 w 232"/>
            <a:gd name="T9" fmla="*/ 53 h 151"/>
            <a:gd name="T10" fmla="*/ 59 w 232"/>
            <a:gd name="T11" fmla="*/ 41 h 151"/>
            <a:gd name="T12" fmla="*/ 69 w 232"/>
            <a:gd name="T13" fmla="*/ 36 h 151"/>
            <a:gd name="T14" fmla="*/ 82 w 232"/>
            <a:gd name="T15" fmla="*/ 39 h 151"/>
            <a:gd name="T16" fmla="*/ 85 w 232"/>
            <a:gd name="T17" fmla="*/ 52 h 151"/>
            <a:gd name="T18" fmla="*/ 98 w 232"/>
            <a:gd name="T19" fmla="*/ 60 h 151"/>
            <a:gd name="T20" fmla="*/ 103 w 232"/>
            <a:gd name="T21" fmla="*/ 75 h 151"/>
            <a:gd name="T22" fmla="*/ 118 w 232"/>
            <a:gd name="T23" fmla="*/ 80 h 151"/>
            <a:gd name="T24" fmla="*/ 129 w 232"/>
            <a:gd name="T25" fmla="*/ 80 h 151"/>
            <a:gd name="T26" fmla="*/ 131 w 232"/>
            <a:gd name="T27" fmla="*/ 95 h 151"/>
            <a:gd name="T28" fmla="*/ 129 w 232"/>
            <a:gd name="T29" fmla="*/ 112 h 151"/>
            <a:gd name="T30" fmla="*/ 124 w 232"/>
            <a:gd name="T31" fmla="*/ 124 h 151"/>
            <a:gd name="T32" fmla="*/ 131 w 232"/>
            <a:gd name="T33" fmla="*/ 129 h 151"/>
            <a:gd name="T34" fmla="*/ 138 w 232"/>
            <a:gd name="T35" fmla="*/ 129 h 151"/>
            <a:gd name="T36" fmla="*/ 146 w 232"/>
            <a:gd name="T37" fmla="*/ 132 h 151"/>
            <a:gd name="T38" fmla="*/ 152 w 232"/>
            <a:gd name="T39" fmla="*/ 140 h 151"/>
            <a:gd name="T40" fmla="*/ 164 w 232"/>
            <a:gd name="T41" fmla="*/ 144 h 151"/>
            <a:gd name="T42" fmla="*/ 174 w 232"/>
            <a:gd name="T43" fmla="*/ 148 h 151"/>
            <a:gd name="T44" fmla="*/ 166 w 232"/>
            <a:gd name="T45" fmla="*/ 129 h 151"/>
            <a:gd name="T46" fmla="*/ 153 w 232"/>
            <a:gd name="T47" fmla="*/ 116 h 151"/>
            <a:gd name="T48" fmla="*/ 151 w 232"/>
            <a:gd name="T49" fmla="*/ 107 h 151"/>
            <a:gd name="T50" fmla="*/ 164 w 232"/>
            <a:gd name="T51" fmla="*/ 123 h 151"/>
            <a:gd name="T52" fmla="*/ 160 w 232"/>
            <a:gd name="T53" fmla="*/ 111 h 151"/>
            <a:gd name="T54" fmla="*/ 157 w 232"/>
            <a:gd name="T55" fmla="*/ 88 h 151"/>
            <a:gd name="T56" fmla="*/ 152 w 232"/>
            <a:gd name="T57" fmla="*/ 69 h 151"/>
            <a:gd name="T58" fmla="*/ 159 w 232"/>
            <a:gd name="T59" fmla="*/ 69 h 151"/>
            <a:gd name="T60" fmla="*/ 146 w 232"/>
            <a:gd name="T61" fmla="*/ 52 h 151"/>
            <a:gd name="T62" fmla="*/ 155 w 232"/>
            <a:gd name="T63" fmla="*/ 51 h 151"/>
            <a:gd name="T64" fmla="*/ 156 w 232"/>
            <a:gd name="T65" fmla="*/ 41 h 151"/>
            <a:gd name="T66" fmla="*/ 160 w 232"/>
            <a:gd name="T67" fmla="*/ 40 h 151"/>
            <a:gd name="T68" fmla="*/ 162 w 232"/>
            <a:gd name="T69" fmla="*/ 33 h 151"/>
            <a:gd name="T70" fmla="*/ 166 w 232"/>
            <a:gd name="T71" fmla="*/ 21 h 151"/>
            <a:gd name="T72" fmla="*/ 173 w 232"/>
            <a:gd name="T73" fmla="*/ 15 h 151"/>
            <a:gd name="T74" fmla="*/ 177 w 232"/>
            <a:gd name="T75" fmla="*/ 19 h 151"/>
            <a:gd name="T76" fmla="*/ 173 w 232"/>
            <a:gd name="T77" fmla="*/ 33 h 151"/>
            <a:gd name="T78" fmla="*/ 164 w 232"/>
            <a:gd name="T79" fmla="*/ 56 h 151"/>
            <a:gd name="T80" fmla="*/ 170 w 232"/>
            <a:gd name="T81" fmla="*/ 56 h 151"/>
            <a:gd name="T82" fmla="*/ 166 w 232"/>
            <a:gd name="T83" fmla="*/ 69 h 151"/>
            <a:gd name="T84" fmla="*/ 163 w 232"/>
            <a:gd name="T85" fmla="*/ 76 h 151"/>
            <a:gd name="T86" fmla="*/ 171 w 232"/>
            <a:gd name="T87" fmla="*/ 76 h 151"/>
            <a:gd name="T88" fmla="*/ 174 w 232"/>
            <a:gd name="T89" fmla="*/ 87 h 151"/>
            <a:gd name="T90" fmla="*/ 165 w 232"/>
            <a:gd name="T91" fmla="*/ 91 h 151"/>
            <a:gd name="T92" fmla="*/ 172 w 232"/>
            <a:gd name="T93" fmla="*/ 88 h 151"/>
            <a:gd name="T94" fmla="*/ 181 w 232"/>
            <a:gd name="T95" fmla="*/ 99 h 151"/>
            <a:gd name="T96" fmla="*/ 172 w 232"/>
            <a:gd name="T97" fmla="*/ 100 h 151"/>
            <a:gd name="T98" fmla="*/ 173 w 232"/>
            <a:gd name="T99" fmla="*/ 113 h 151"/>
            <a:gd name="T100" fmla="*/ 176 w 232"/>
            <a:gd name="T101" fmla="*/ 120 h 151"/>
            <a:gd name="T102" fmla="*/ 188 w 232"/>
            <a:gd name="T103" fmla="*/ 128 h 151"/>
            <a:gd name="T104" fmla="*/ 188 w 232"/>
            <a:gd name="T105" fmla="*/ 123 h 151"/>
            <a:gd name="T106" fmla="*/ 194 w 232"/>
            <a:gd name="T107" fmla="*/ 125 h 151"/>
            <a:gd name="T108" fmla="*/ 194 w 232"/>
            <a:gd name="T109" fmla="*/ 137 h 151"/>
            <a:gd name="T110" fmla="*/ 203 w 232"/>
            <a:gd name="T111" fmla="*/ 136 h 151"/>
            <a:gd name="T112" fmla="*/ 199 w 232"/>
            <a:gd name="T113" fmla="*/ 151 h 151"/>
            <a:gd name="T114" fmla="*/ 214 w 232"/>
            <a:gd name="T115" fmla="*/ 141 h 151"/>
            <a:gd name="T116" fmla="*/ 226 w 232"/>
            <a:gd name="T117" fmla="*/ 127 h 151"/>
            <a:gd name="T118" fmla="*/ 232 w 232"/>
            <a:gd name="T119" fmla="*/ 107 h 151"/>
            <a:gd name="T120" fmla="*/ 231 w 232"/>
            <a:gd name="T121" fmla="*/ 97 h 151"/>
            <a:gd name="T122" fmla="*/ 192 w 232"/>
            <a:gd name="T123" fmla="*/ 63 h 151"/>
            <a:gd name="T124" fmla="*/ 0 w 232"/>
            <a:gd name="T125" fmla="*/ 48 h 1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232" h="151">
              <a:moveTo>
                <a:pt x="0" y="48"/>
              </a:moveTo>
              <a:lnTo>
                <a:pt x="5" y="93"/>
              </a:lnTo>
              <a:lnTo>
                <a:pt x="9" y="87"/>
              </a:lnTo>
              <a:lnTo>
                <a:pt x="13" y="83"/>
              </a:lnTo>
              <a:lnTo>
                <a:pt x="15" y="77"/>
              </a:lnTo>
              <a:lnTo>
                <a:pt x="19" y="71"/>
              </a:lnTo>
              <a:lnTo>
                <a:pt x="21" y="65"/>
              </a:lnTo>
              <a:lnTo>
                <a:pt x="25" y="64"/>
              </a:lnTo>
              <a:lnTo>
                <a:pt x="29" y="64"/>
              </a:lnTo>
              <a:lnTo>
                <a:pt x="34" y="53"/>
              </a:lnTo>
              <a:lnTo>
                <a:pt x="35" y="48"/>
              </a:lnTo>
              <a:lnTo>
                <a:pt x="36" y="48"/>
              </a:lnTo>
              <a:lnTo>
                <a:pt x="40" y="53"/>
              </a:lnTo>
              <a:lnTo>
                <a:pt x="44" y="53"/>
              </a:lnTo>
              <a:lnTo>
                <a:pt x="51" y="53"/>
              </a:lnTo>
              <a:lnTo>
                <a:pt x="51" y="48"/>
              </a:lnTo>
              <a:lnTo>
                <a:pt x="55" y="41"/>
              </a:lnTo>
              <a:lnTo>
                <a:pt x="59" y="41"/>
              </a:lnTo>
              <a:lnTo>
                <a:pt x="61" y="36"/>
              </a:lnTo>
              <a:lnTo>
                <a:pt x="65" y="33"/>
              </a:lnTo>
              <a:lnTo>
                <a:pt x="69" y="36"/>
              </a:lnTo>
              <a:lnTo>
                <a:pt x="73" y="40"/>
              </a:lnTo>
              <a:lnTo>
                <a:pt x="81" y="39"/>
              </a:lnTo>
              <a:lnTo>
                <a:pt x="82" y="39"/>
              </a:lnTo>
              <a:lnTo>
                <a:pt x="80" y="45"/>
              </a:lnTo>
              <a:lnTo>
                <a:pt x="84" y="47"/>
              </a:lnTo>
              <a:lnTo>
                <a:pt x="85" y="52"/>
              </a:lnTo>
              <a:lnTo>
                <a:pt x="88" y="56"/>
              </a:lnTo>
              <a:lnTo>
                <a:pt x="89" y="60"/>
              </a:lnTo>
              <a:lnTo>
                <a:pt x="98" y="60"/>
              </a:lnTo>
              <a:lnTo>
                <a:pt x="102" y="64"/>
              </a:lnTo>
              <a:lnTo>
                <a:pt x="104" y="69"/>
              </a:lnTo>
              <a:lnTo>
                <a:pt x="103" y="75"/>
              </a:lnTo>
              <a:lnTo>
                <a:pt x="108" y="77"/>
              </a:lnTo>
              <a:lnTo>
                <a:pt x="113" y="77"/>
              </a:lnTo>
              <a:lnTo>
                <a:pt x="118" y="80"/>
              </a:lnTo>
              <a:lnTo>
                <a:pt x="121" y="83"/>
              </a:lnTo>
              <a:lnTo>
                <a:pt x="124" y="84"/>
              </a:lnTo>
              <a:lnTo>
                <a:pt x="129" y="80"/>
              </a:lnTo>
              <a:lnTo>
                <a:pt x="134" y="85"/>
              </a:lnTo>
              <a:lnTo>
                <a:pt x="134" y="89"/>
              </a:lnTo>
              <a:lnTo>
                <a:pt x="131" y="95"/>
              </a:lnTo>
              <a:lnTo>
                <a:pt x="132" y="101"/>
              </a:lnTo>
              <a:lnTo>
                <a:pt x="129" y="107"/>
              </a:lnTo>
              <a:lnTo>
                <a:pt x="129" y="112"/>
              </a:lnTo>
              <a:lnTo>
                <a:pt x="126" y="117"/>
              </a:lnTo>
              <a:lnTo>
                <a:pt x="125" y="119"/>
              </a:lnTo>
              <a:lnTo>
                <a:pt x="124" y="124"/>
              </a:lnTo>
              <a:lnTo>
                <a:pt x="125" y="129"/>
              </a:lnTo>
              <a:lnTo>
                <a:pt x="128" y="135"/>
              </a:lnTo>
              <a:lnTo>
                <a:pt x="131" y="129"/>
              </a:lnTo>
              <a:lnTo>
                <a:pt x="132" y="125"/>
              </a:lnTo>
              <a:lnTo>
                <a:pt x="136" y="123"/>
              </a:lnTo>
              <a:lnTo>
                <a:pt x="138" y="129"/>
              </a:lnTo>
              <a:lnTo>
                <a:pt x="141" y="135"/>
              </a:lnTo>
              <a:lnTo>
                <a:pt x="146" y="137"/>
              </a:lnTo>
              <a:lnTo>
                <a:pt x="146" y="132"/>
              </a:lnTo>
              <a:lnTo>
                <a:pt x="147" y="129"/>
              </a:lnTo>
              <a:lnTo>
                <a:pt x="148" y="135"/>
              </a:lnTo>
              <a:lnTo>
                <a:pt x="152" y="140"/>
              </a:lnTo>
              <a:lnTo>
                <a:pt x="157" y="137"/>
              </a:lnTo>
              <a:lnTo>
                <a:pt x="161" y="139"/>
              </a:lnTo>
              <a:lnTo>
                <a:pt x="164" y="144"/>
              </a:lnTo>
              <a:lnTo>
                <a:pt x="165" y="143"/>
              </a:lnTo>
              <a:lnTo>
                <a:pt x="170" y="143"/>
              </a:lnTo>
              <a:lnTo>
                <a:pt x="174" y="148"/>
              </a:lnTo>
              <a:lnTo>
                <a:pt x="175" y="143"/>
              </a:lnTo>
              <a:lnTo>
                <a:pt x="170" y="132"/>
              </a:lnTo>
              <a:lnTo>
                <a:pt x="166" y="129"/>
              </a:lnTo>
              <a:lnTo>
                <a:pt x="161" y="125"/>
              </a:lnTo>
              <a:lnTo>
                <a:pt x="155" y="121"/>
              </a:lnTo>
              <a:lnTo>
                <a:pt x="153" y="116"/>
              </a:lnTo>
              <a:lnTo>
                <a:pt x="150" y="104"/>
              </a:lnTo>
              <a:lnTo>
                <a:pt x="150" y="101"/>
              </a:lnTo>
              <a:lnTo>
                <a:pt x="151" y="107"/>
              </a:lnTo>
              <a:lnTo>
                <a:pt x="155" y="117"/>
              </a:lnTo>
              <a:lnTo>
                <a:pt x="160" y="121"/>
              </a:lnTo>
              <a:lnTo>
                <a:pt x="164" y="123"/>
              </a:lnTo>
              <a:lnTo>
                <a:pt x="166" y="127"/>
              </a:lnTo>
              <a:lnTo>
                <a:pt x="168" y="121"/>
              </a:lnTo>
              <a:lnTo>
                <a:pt x="160" y="111"/>
              </a:lnTo>
              <a:lnTo>
                <a:pt x="158" y="99"/>
              </a:lnTo>
              <a:lnTo>
                <a:pt x="155" y="93"/>
              </a:lnTo>
              <a:lnTo>
                <a:pt x="157" y="88"/>
              </a:lnTo>
              <a:lnTo>
                <a:pt x="155" y="83"/>
              </a:lnTo>
              <a:lnTo>
                <a:pt x="155" y="72"/>
              </a:lnTo>
              <a:lnTo>
                <a:pt x="152" y="69"/>
              </a:lnTo>
              <a:lnTo>
                <a:pt x="153" y="68"/>
              </a:lnTo>
              <a:lnTo>
                <a:pt x="157" y="69"/>
              </a:lnTo>
              <a:lnTo>
                <a:pt x="159" y="69"/>
              </a:lnTo>
              <a:lnTo>
                <a:pt x="155" y="65"/>
              </a:lnTo>
              <a:lnTo>
                <a:pt x="156" y="60"/>
              </a:lnTo>
              <a:lnTo>
                <a:pt x="146" y="52"/>
              </a:lnTo>
              <a:lnTo>
                <a:pt x="150" y="51"/>
              </a:lnTo>
              <a:lnTo>
                <a:pt x="151" y="51"/>
              </a:lnTo>
              <a:lnTo>
                <a:pt x="155" y="51"/>
              </a:lnTo>
              <a:lnTo>
                <a:pt x="151" y="47"/>
              </a:lnTo>
              <a:lnTo>
                <a:pt x="155" y="48"/>
              </a:lnTo>
              <a:lnTo>
                <a:pt x="156" y="41"/>
              </a:lnTo>
              <a:lnTo>
                <a:pt x="155" y="37"/>
              </a:lnTo>
              <a:lnTo>
                <a:pt x="156" y="35"/>
              </a:lnTo>
              <a:lnTo>
                <a:pt x="160" y="40"/>
              </a:lnTo>
              <a:lnTo>
                <a:pt x="160" y="32"/>
              </a:lnTo>
              <a:lnTo>
                <a:pt x="161" y="28"/>
              </a:lnTo>
              <a:lnTo>
                <a:pt x="162" y="33"/>
              </a:lnTo>
              <a:lnTo>
                <a:pt x="166" y="32"/>
              </a:lnTo>
              <a:lnTo>
                <a:pt x="169" y="27"/>
              </a:lnTo>
              <a:lnTo>
                <a:pt x="166" y="21"/>
              </a:lnTo>
              <a:lnTo>
                <a:pt x="167" y="17"/>
              </a:lnTo>
              <a:lnTo>
                <a:pt x="171" y="17"/>
              </a:lnTo>
              <a:lnTo>
                <a:pt x="173" y="15"/>
              </a:lnTo>
              <a:lnTo>
                <a:pt x="172" y="20"/>
              </a:lnTo>
              <a:lnTo>
                <a:pt x="176" y="16"/>
              </a:lnTo>
              <a:lnTo>
                <a:pt x="177" y="19"/>
              </a:lnTo>
              <a:lnTo>
                <a:pt x="172" y="29"/>
              </a:lnTo>
              <a:lnTo>
                <a:pt x="177" y="31"/>
              </a:lnTo>
              <a:lnTo>
                <a:pt x="173" y="33"/>
              </a:lnTo>
              <a:lnTo>
                <a:pt x="169" y="33"/>
              </a:lnTo>
              <a:lnTo>
                <a:pt x="166" y="39"/>
              </a:lnTo>
              <a:lnTo>
                <a:pt x="164" y="56"/>
              </a:lnTo>
              <a:lnTo>
                <a:pt x="167" y="61"/>
              </a:lnTo>
              <a:lnTo>
                <a:pt x="168" y="56"/>
              </a:lnTo>
              <a:lnTo>
                <a:pt x="170" y="56"/>
              </a:lnTo>
              <a:lnTo>
                <a:pt x="170" y="61"/>
              </a:lnTo>
              <a:lnTo>
                <a:pt x="171" y="64"/>
              </a:lnTo>
              <a:lnTo>
                <a:pt x="166" y="69"/>
              </a:lnTo>
              <a:lnTo>
                <a:pt x="163" y="69"/>
              </a:lnTo>
              <a:lnTo>
                <a:pt x="163" y="81"/>
              </a:lnTo>
              <a:lnTo>
                <a:pt x="163" y="76"/>
              </a:lnTo>
              <a:lnTo>
                <a:pt x="167" y="72"/>
              </a:lnTo>
              <a:lnTo>
                <a:pt x="168" y="71"/>
              </a:lnTo>
              <a:lnTo>
                <a:pt x="171" y="76"/>
              </a:lnTo>
              <a:lnTo>
                <a:pt x="175" y="76"/>
              </a:lnTo>
              <a:lnTo>
                <a:pt x="172" y="81"/>
              </a:lnTo>
              <a:lnTo>
                <a:pt x="174" y="87"/>
              </a:lnTo>
              <a:lnTo>
                <a:pt x="170" y="83"/>
              </a:lnTo>
              <a:lnTo>
                <a:pt x="166" y="84"/>
              </a:lnTo>
              <a:lnTo>
                <a:pt x="165" y="91"/>
              </a:lnTo>
              <a:lnTo>
                <a:pt x="167" y="96"/>
              </a:lnTo>
              <a:lnTo>
                <a:pt x="168" y="89"/>
              </a:lnTo>
              <a:lnTo>
                <a:pt x="172" y="88"/>
              </a:lnTo>
              <a:lnTo>
                <a:pt x="175" y="91"/>
              </a:lnTo>
              <a:lnTo>
                <a:pt x="176" y="96"/>
              </a:lnTo>
              <a:lnTo>
                <a:pt x="181" y="99"/>
              </a:lnTo>
              <a:lnTo>
                <a:pt x="185" y="96"/>
              </a:lnTo>
              <a:lnTo>
                <a:pt x="182" y="101"/>
              </a:lnTo>
              <a:lnTo>
                <a:pt x="172" y="100"/>
              </a:lnTo>
              <a:lnTo>
                <a:pt x="171" y="105"/>
              </a:lnTo>
              <a:lnTo>
                <a:pt x="175" y="103"/>
              </a:lnTo>
              <a:lnTo>
                <a:pt x="173" y="113"/>
              </a:lnTo>
              <a:lnTo>
                <a:pt x="173" y="119"/>
              </a:lnTo>
              <a:lnTo>
                <a:pt x="177" y="125"/>
              </a:lnTo>
              <a:lnTo>
                <a:pt x="176" y="120"/>
              </a:lnTo>
              <a:lnTo>
                <a:pt x="180" y="123"/>
              </a:lnTo>
              <a:lnTo>
                <a:pt x="184" y="127"/>
              </a:lnTo>
              <a:lnTo>
                <a:pt x="188" y="128"/>
              </a:lnTo>
              <a:lnTo>
                <a:pt x="186" y="123"/>
              </a:lnTo>
              <a:lnTo>
                <a:pt x="188" y="117"/>
              </a:lnTo>
              <a:lnTo>
                <a:pt x="188" y="123"/>
              </a:lnTo>
              <a:lnTo>
                <a:pt x="190" y="125"/>
              </a:lnTo>
              <a:lnTo>
                <a:pt x="194" y="115"/>
              </a:lnTo>
              <a:lnTo>
                <a:pt x="194" y="125"/>
              </a:lnTo>
              <a:lnTo>
                <a:pt x="196" y="127"/>
              </a:lnTo>
              <a:lnTo>
                <a:pt x="193" y="132"/>
              </a:lnTo>
              <a:lnTo>
                <a:pt x="194" y="137"/>
              </a:lnTo>
              <a:lnTo>
                <a:pt x="198" y="135"/>
              </a:lnTo>
              <a:lnTo>
                <a:pt x="199" y="137"/>
              </a:lnTo>
              <a:lnTo>
                <a:pt x="203" y="136"/>
              </a:lnTo>
              <a:lnTo>
                <a:pt x="202" y="141"/>
              </a:lnTo>
              <a:lnTo>
                <a:pt x="199" y="147"/>
              </a:lnTo>
              <a:lnTo>
                <a:pt x="199" y="151"/>
              </a:lnTo>
              <a:lnTo>
                <a:pt x="207" y="147"/>
              </a:lnTo>
              <a:lnTo>
                <a:pt x="210" y="147"/>
              </a:lnTo>
              <a:lnTo>
                <a:pt x="214" y="141"/>
              </a:lnTo>
              <a:lnTo>
                <a:pt x="223" y="137"/>
              </a:lnTo>
              <a:lnTo>
                <a:pt x="223" y="132"/>
              </a:lnTo>
              <a:lnTo>
                <a:pt x="226" y="127"/>
              </a:lnTo>
              <a:lnTo>
                <a:pt x="228" y="116"/>
              </a:lnTo>
              <a:lnTo>
                <a:pt x="230" y="117"/>
              </a:lnTo>
              <a:lnTo>
                <a:pt x="232" y="107"/>
              </a:lnTo>
              <a:lnTo>
                <a:pt x="228" y="101"/>
              </a:lnTo>
              <a:lnTo>
                <a:pt x="230" y="99"/>
              </a:lnTo>
              <a:lnTo>
                <a:pt x="231" y="97"/>
              </a:lnTo>
              <a:lnTo>
                <a:pt x="201" y="107"/>
              </a:lnTo>
              <a:lnTo>
                <a:pt x="199" y="100"/>
              </a:lnTo>
              <a:lnTo>
                <a:pt x="192" y="63"/>
              </a:lnTo>
              <a:lnTo>
                <a:pt x="179" y="0"/>
              </a:lnTo>
              <a:lnTo>
                <a:pt x="84" y="27"/>
              </a:lnTo>
              <a:lnTo>
                <a:pt x="0" y="48"/>
              </a:lnTo>
              <a:lnTo>
                <a:pt x="0" y="48"/>
              </a:lnTo>
              <a:lnTo>
                <a:pt x="0" y="48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21ECE67E-5A53-4D3F-8A8A-784635321E9A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MD
3738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296300</xdr:colOff>
      <xdr:row>15</xdr:row>
      <xdr:rowOff>116151</xdr:rowOff>
    </xdr:from>
    <xdr:to>
      <xdr:col>10</xdr:col>
      <xdr:colOff>321818</xdr:colOff>
      <xdr:row>15</xdr:row>
      <xdr:rowOff>128910</xdr:rowOff>
    </xdr:to>
    <xdr:sp macro="" textlink="data!P35">
      <xdr:nvSpPr>
        <xdr:cNvPr id="228" name="DC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>
          <a:spLocks/>
        </xdr:cNvSpPr>
      </xdr:nvSpPr>
      <xdr:spPr bwMode="auto">
        <a:xfrm>
          <a:off x="7001900" y="2545026"/>
          <a:ext cx="25518" cy="12759"/>
        </a:xfrm>
        <a:custGeom>
          <a:avLst/>
          <a:gdLst>
            <a:gd name="T0" fmla="*/ 0 w 10"/>
            <a:gd name="T1" fmla="*/ 4 h 15"/>
            <a:gd name="T2" fmla="*/ 4 w 10"/>
            <a:gd name="T3" fmla="*/ 7 h 15"/>
            <a:gd name="T4" fmla="*/ 7 w 10"/>
            <a:gd name="T5" fmla="*/ 9 h 15"/>
            <a:gd name="T6" fmla="*/ 7 w 10"/>
            <a:gd name="T7" fmla="*/ 15 h 15"/>
            <a:gd name="T8" fmla="*/ 10 w 10"/>
            <a:gd name="T9" fmla="*/ 9 h 15"/>
            <a:gd name="T10" fmla="*/ 10 w 10"/>
            <a:gd name="T11" fmla="*/ 5 h 15"/>
            <a:gd name="T12" fmla="*/ 5 w 10"/>
            <a:gd name="T13" fmla="*/ 0 h 15"/>
            <a:gd name="T14" fmla="*/ 0 w 10"/>
            <a:gd name="T15" fmla="*/ 4 h 15"/>
            <a:gd name="T16" fmla="*/ 0 w 10"/>
            <a:gd name="T17" fmla="*/ 4 h 15"/>
            <a:gd name="T18" fmla="*/ 0 w 10"/>
            <a:gd name="T19" fmla="*/ 4 h 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10" h="15">
              <a:moveTo>
                <a:pt x="0" y="4"/>
              </a:moveTo>
              <a:lnTo>
                <a:pt x="4" y="7"/>
              </a:lnTo>
              <a:lnTo>
                <a:pt x="7" y="9"/>
              </a:lnTo>
              <a:lnTo>
                <a:pt x="7" y="15"/>
              </a:lnTo>
              <a:lnTo>
                <a:pt x="10" y="9"/>
              </a:lnTo>
              <a:lnTo>
                <a:pt x="10" y="5"/>
              </a:lnTo>
              <a:lnTo>
                <a:pt x="5" y="0"/>
              </a:lnTo>
              <a:lnTo>
                <a:pt x="0" y="4"/>
              </a:lnTo>
              <a:lnTo>
                <a:pt x="0" y="4"/>
              </a:lnTo>
              <a:lnTo>
                <a:pt x="0" y="4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5D95DF03-2EB9-42CC-BA4E-7225CCA43BE4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 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411130</xdr:colOff>
      <xdr:row>14</xdr:row>
      <xdr:rowOff>124969</xdr:rowOff>
    </xdr:from>
    <xdr:to>
      <xdr:col>10</xdr:col>
      <xdr:colOff>538719</xdr:colOff>
      <xdr:row>15</xdr:row>
      <xdr:rowOff>158680</xdr:rowOff>
    </xdr:to>
    <xdr:sp macro="" textlink="data!E19">
      <xdr:nvSpPr>
        <xdr:cNvPr id="229" name="DE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SpPr>
          <a:spLocks/>
        </xdr:cNvSpPr>
      </xdr:nvSpPr>
      <xdr:spPr bwMode="auto">
        <a:xfrm>
          <a:off x="7116730" y="2391919"/>
          <a:ext cx="127589" cy="195636"/>
        </a:xfrm>
        <a:custGeom>
          <a:avLst/>
          <a:gdLst>
            <a:gd name="T0" fmla="*/ 0 w 54"/>
            <a:gd name="T1" fmla="*/ 15 h 122"/>
            <a:gd name="T2" fmla="*/ 13 w 54"/>
            <a:gd name="T3" fmla="*/ 78 h 122"/>
            <a:gd name="T4" fmla="*/ 20 w 54"/>
            <a:gd name="T5" fmla="*/ 115 h 122"/>
            <a:gd name="T6" fmla="*/ 22 w 54"/>
            <a:gd name="T7" fmla="*/ 122 h 122"/>
            <a:gd name="T8" fmla="*/ 52 w 54"/>
            <a:gd name="T9" fmla="*/ 112 h 122"/>
            <a:gd name="T10" fmla="*/ 53 w 54"/>
            <a:gd name="T11" fmla="*/ 111 h 122"/>
            <a:gd name="T12" fmla="*/ 54 w 54"/>
            <a:gd name="T13" fmla="*/ 111 h 122"/>
            <a:gd name="T14" fmla="*/ 51 w 54"/>
            <a:gd name="T15" fmla="*/ 100 h 122"/>
            <a:gd name="T16" fmla="*/ 47 w 54"/>
            <a:gd name="T17" fmla="*/ 102 h 122"/>
            <a:gd name="T18" fmla="*/ 45 w 54"/>
            <a:gd name="T19" fmla="*/ 103 h 122"/>
            <a:gd name="T20" fmla="*/ 49 w 54"/>
            <a:gd name="T21" fmla="*/ 98 h 122"/>
            <a:gd name="T22" fmla="*/ 47 w 54"/>
            <a:gd name="T23" fmla="*/ 96 h 122"/>
            <a:gd name="T24" fmla="*/ 47 w 54"/>
            <a:gd name="T25" fmla="*/ 91 h 122"/>
            <a:gd name="T26" fmla="*/ 48 w 54"/>
            <a:gd name="T27" fmla="*/ 86 h 122"/>
            <a:gd name="T28" fmla="*/ 47 w 54"/>
            <a:gd name="T29" fmla="*/ 83 h 122"/>
            <a:gd name="T30" fmla="*/ 42 w 54"/>
            <a:gd name="T31" fmla="*/ 83 h 122"/>
            <a:gd name="T32" fmla="*/ 34 w 54"/>
            <a:gd name="T33" fmla="*/ 75 h 122"/>
            <a:gd name="T34" fmla="*/ 33 w 54"/>
            <a:gd name="T35" fmla="*/ 70 h 122"/>
            <a:gd name="T36" fmla="*/ 28 w 54"/>
            <a:gd name="T37" fmla="*/ 64 h 122"/>
            <a:gd name="T38" fmla="*/ 26 w 54"/>
            <a:gd name="T39" fmla="*/ 56 h 122"/>
            <a:gd name="T40" fmla="*/ 25 w 54"/>
            <a:gd name="T41" fmla="*/ 51 h 122"/>
            <a:gd name="T42" fmla="*/ 23 w 54"/>
            <a:gd name="T43" fmla="*/ 46 h 122"/>
            <a:gd name="T44" fmla="*/ 19 w 54"/>
            <a:gd name="T45" fmla="*/ 40 h 122"/>
            <a:gd name="T46" fmla="*/ 15 w 54"/>
            <a:gd name="T47" fmla="*/ 35 h 122"/>
            <a:gd name="T48" fmla="*/ 13 w 54"/>
            <a:gd name="T49" fmla="*/ 30 h 122"/>
            <a:gd name="T50" fmla="*/ 13 w 54"/>
            <a:gd name="T51" fmla="*/ 24 h 122"/>
            <a:gd name="T52" fmla="*/ 10 w 54"/>
            <a:gd name="T53" fmla="*/ 19 h 122"/>
            <a:gd name="T54" fmla="*/ 12 w 54"/>
            <a:gd name="T55" fmla="*/ 16 h 122"/>
            <a:gd name="T56" fmla="*/ 13 w 54"/>
            <a:gd name="T57" fmla="*/ 10 h 122"/>
            <a:gd name="T58" fmla="*/ 14 w 54"/>
            <a:gd name="T59" fmla="*/ 4 h 122"/>
            <a:gd name="T60" fmla="*/ 16 w 54"/>
            <a:gd name="T61" fmla="*/ 2 h 122"/>
            <a:gd name="T62" fmla="*/ 14 w 54"/>
            <a:gd name="T63" fmla="*/ 0 h 122"/>
            <a:gd name="T64" fmla="*/ 11 w 54"/>
            <a:gd name="T65" fmla="*/ 0 h 122"/>
            <a:gd name="T66" fmla="*/ 7 w 54"/>
            <a:gd name="T67" fmla="*/ 0 h 122"/>
            <a:gd name="T68" fmla="*/ 3 w 54"/>
            <a:gd name="T69" fmla="*/ 4 h 122"/>
            <a:gd name="T70" fmla="*/ 1 w 54"/>
            <a:gd name="T71" fmla="*/ 10 h 122"/>
            <a:gd name="T72" fmla="*/ 0 w 54"/>
            <a:gd name="T73" fmla="*/ 15 h 122"/>
            <a:gd name="T74" fmla="*/ 0 w 54"/>
            <a:gd name="T75" fmla="*/ 15 h 122"/>
            <a:gd name="T76" fmla="*/ 0 w 54"/>
            <a:gd name="T77" fmla="*/ 15 h 12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</a:cxnLst>
          <a:rect l="0" t="0" r="r" b="b"/>
          <a:pathLst>
            <a:path w="54" h="122">
              <a:moveTo>
                <a:pt x="0" y="15"/>
              </a:moveTo>
              <a:lnTo>
                <a:pt x="13" y="78"/>
              </a:lnTo>
              <a:lnTo>
                <a:pt x="20" y="115"/>
              </a:lnTo>
              <a:lnTo>
                <a:pt x="22" y="122"/>
              </a:lnTo>
              <a:lnTo>
                <a:pt x="52" y="112"/>
              </a:lnTo>
              <a:lnTo>
                <a:pt x="53" y="111"/>
              </a:lnTo>
              <a:lnTo>
                <a:pt x="54" y="111"/>
              </a:lnTo>
              <a:lnTo>
                <a:pt x="51" y="100"/>
              </a:lnTo>
              <a:lnTo>
                <a:pt x="47" y="102"/>
              </a:lnTo>
              <a:lnTo>
                <a:pt x="45" y="103"/>
              </a:lnTo>
              <a:lnTo>
                <a:pt x="49" y="98"/>
              </a:lnTo>
              <a:lnTo>
                <a:pt x="47" y="96"/>
              </a:lnTo>
              <a:lnTo>
                <a:pt x="47" y="91"/>
              </a:lnTo>
              <a:lnTo>
                <a:pt x="48" y="86"/>
              </a:lnTo>
              <a:lnTo>
                <a:pt x="47" y="83"/>
              </a:lnTo>
              <a:lnTo>
                <a:pt x="42" y="83"/>
              </a:lnTo>
              <a:lnTo>
                <a:pt x="34" y="75"/>
              </a:lnTo>
              <a:lnTo>
                <a:pt x="33" y="70"/>
              </a:lnTo>
              <a:lnTo>
                <a:pt x="28" y="64"/>
              </a:lnTo>
              <a:lnTo>
                <a:pt x="26" y="56"/>
              </a:lnTo>
              <a:lnTo>
                <a:pt x="25" y="51"/>
              </a:lnTo>
              <a:lnTo>
                <a:pt x="23" y="46"/>
              </a:lnTo>
              <a:lnTo>
                <a:pt x="19" y="40"/>
              </a:lnTo>
              <a:lnTo>
                <a:pt x="15" y="35"/>
              </a:lnTo>
              <a:lnTo>
                <a:pt x="13" y="30"/>
              </a:lnTo>
              <a:lnTo>
                <a:pt x="13" y="24"/>
              </a:lnTo>
              <a:lnTo>
                <a:pt x="10" y="19"/>
              </a:lnTo>
              <a:lnTo>
                <a:pt x="12" y="16"/>
              </a:lnTo>
              <a:lnTo>
                <a:pt x="13" y="10"/>
              </a:lnTo>
              <a:lnTo>
                <a:pt x="14" y="4"/>
              </a:lnTo>
              <a:lnTo>
                <a:pt x="16" y="2"/>
              </a:lnTo>
              <a:lnTo>
                <a:pt x="14" y="0"/>
              </a:lnTo>
              <a:lnTo>
                <a:pt x="11" y="0"/>
              </a:lnTo>
              <a:lnTo>
                <a:pt x="7" y="0"/>
              </a:lnTo>
              <a:lnTo>
                <a:pt x="3" y="4"/>
              </a:lnTo>
              <a:lnTo>
                <a:pt x="1" y="10"/>
              </a:lnTo>
              <a:lnTo>
                <a:pt x="0" y="15"/>
              </a:lnTo>
              <a:lnTo>
                <a:pt x="0" y="15"/>
              </a:lnTo>
              <a:lnTo>
                <a:pt x="0" y="15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4D4D1177-2A5C-4CE8-9A79-4F4C06BB2819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DE
4383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449406</xdr:colOff>
      <xdr:row>13</xdr:row>
      <xdr:rowOff>52982</xdr:rowOff>
    </xdr:from>
    <xdr:to>
      <xdr:col>10</xdr:col>
      <xdr:colOff>589753</xdr:colOff>
      <xdr:row>15</xdr:row>
      <xdr:rowOff>65115</xdr:rowOff>
    </xdr:to>
    <xdr:sp macro="" textlink="data!E42">
      <xdr:nvSpPr>
        <xdr:cNvPr id="231" name="NJ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SpPr>
          <a:spLocks/>
        </xdr:cNvSpPr>
      </xdr:nvSpPr>
      <xdr:spPr bwMode="auto">
        <a:xfrm>
          <a:off x="7155006" y="2158007"/>
          <a:ext cx="140347" cy="335983"/>
        </a:xfrm>
        <a:custGeom>
          <a:avLst/>
          <a:gdLst>
            <a:gd name="T0" fmla="*/ 0 w 68"/>
            <a:gd name="T1" fmla="*/ 161 h 207"/>
            <a:gd name="T2" fmla="*/ 3 w 68"/>
            <a:gd name="T3" fmla="*/ 166 h 207"/>
            <a:gd name="T4" fmla="*/ 10 w 68"/>
            <a:gd name="T5" fmla="*/ 178 h 207"/>
            <a:gd name="T6" fmla="*/ 19 w 68"/>
            <a:gd name="T7" fmla="*/ 182 h 207"/>
            <a:gd name="T8" fmla="*/ 30 w 68"/>
            <a:gd name="T9" fmla="*/ 187 h 207"/>
            <a:gd name="T10" fmla="*/ 40 w 68"/>
            <a:gd name="T11" fmla="*/ 193 h 207"/>
            <a:gd name="T12" fmla="*/ 39 w 68"/>
            <a:gd name="T13" fmla="*/ 207 h 207"/>
            <a:gd name="T14" fmla="*/ 45 w 68"/>
            <a:gd name="T15" fmla="*/ 202 h 207"/>
            <a:gd name="T16" fmla="*/ 49 w 68"/>
            <a:gd name="T17" fmla="*/ 191 h 207"/>
            <a:gd name="T18" fmla="*/ 52 w 68"/>
            <a:gd name="T19" fmla="*/ 175 h 207"/>
            <a:gd name="T20" fmla="*/ 50 w 68"/>
            <a:gd name="T21" fmla="*/ 171 h 207"/>
            <a:gd name="T22" fmla="*/ 58 w 68"/>
            <a:gd name="T23" fmla="*/ 166 h 207"/>
            <a:gd name="T24" fmla="*/ 58 w 68"/>
            <a:gd name="T25" fmla="*/ 155 h 207"/>
            <a:gd name="T26" fmla="*/ 61 w 68"/>
            <a:gd name="T27" fmla="*/ 147 h 207"/>
            <a:gd name="T28" fmla="*/ 64 w 68"/>
            <a:gd name="T29" fmla="*/ 135 h 207"/>
            <a:gd name="T30" fmla="*/ 64 w 68"/>
            <a:gd name="T31" fmla="*/ 125 h 207"/>
            <a:gd name="T32" fmla="*/ 64 w 68"/>
            <a:gd name="T33" fmla="*/ 112 h 207"/>
            <a:gd name="T34" fmla="*/ 64 w 68"/>
            <a:gd name="T35" fmla="*/ 105 h 207"/>
            <a:gd name="T36" fmla="*/ 67 w 68"/>
            <a:gd name="T37" fmla="*/ 105 h 207"/>
            <a:gd name="T38" fmla="*/ 68 w 68"/>
            <a:gd name="T39" fmla="*/ 121 h 207"/>
            <a:gd name="T40" fmla="*/ 67 w 68"/>
            <a:gd name="T41" fmla="*/ 98 h 207"/>
            <a:gd name="T42" fmla="*/ 66 w 68"/>
            <a:gd name="T43" fmla="*/ 77 h 207"/>
            <a:gd name="T44" fmla="*/ 56 w 68"/>
            <a:gd name="T45" fmla="*/ 68 h 207"/>
            <a:gd name="T46" fmla="*/ 49 w 68"/>
            <a:gd name="T47" fmla="*/ 69 h 207"/>
            <a:gd name="T48" fmla="*/ 49 w 68"/>
            <a:gd name="T49" fmla="*/ 53 h 207"/>
            <a:gd name="T50" fmla="*/ 53 w 68"/>
            <a:gd name="T51" fmla="*/ 48 h 207"/>
            <a:gd name="T52" fmla="*/ 56 w 68"/>
            <a:gd name="T53" fmla="*/ 38 h 207"/>
            <a:gd name="T54" fmla="*/ 58 w 68"/>
            <a:gd name="T55" fmla="*/ 25 h 207"/>
            <a:gd name="T56" fmla="*/ 15 w 68"/>
            <a:gd name="T57" fmla="*/ 0 h 207"/>
            <a:gd name="T58" fmla="*/ 9 w 68"/>
            <a:gd name="T59" fmla="*/ 12 h 207"/>
            <a:gd name="T60" fmla="*/ 4 w 68"/>
            <a:gd name="T61" fmla="*/ 32 h 207"/>
            <a:gd name="T62" fmla="*/ 2 w 68"/>
            <a:gd name="T63" fmla="*/ 41 h 207"/>
            <a:gd name="T64" fmla="*/ 5 w 68"/>
            <a:gd name="T65" fmla="*/ 48 h 207"/>
            <a:gd name="T66" fmla="*/ 1 w 68"/>
            <a:gd name="T67" fmla="*/ 58 h 207"/>
            <a:gd name="T68" fmla="*/ 6 w 68"/>
            <a:gd name="T69" fmla="*/ 73 h 207"/>
            <a:gd name="T70" fmla="*/ 11 w 68"/>
            <a:gd name="T71" fmla="*/ 81 h 207"/>
            <a:gd name="T72" fmla="*/ 17 w 68"/>
            <a:gd name="T73" fmla="*/ 85 h 207"/>
            <a:gd name="T74" fmla="*/ 31 w 68"/>
            <a:gd name="T75" fmla="*/ 101 h 207"/>
            <a:gd name="T76" fmla="*/ 24 w 68"/>
            <a:gd name="T77" fmla="*/ 112 h 207"/>
            <a:gd name="T78" fmla="*/ 19 w 68"/>
            <a:gd name="T79" fmla="*/ 118 h 207"/>
            <a:gd name="T80" fmla="*/ 19 w 68"/>
            <a:gd name="T81" fmla="*/ 120 h 207"/>
            <a:gd name="T82" fmla="*/ 17 w 68"/>
            <a:gd name="T83" fmla="*/ 129 h 207"/>
            <a:gd name="T84" fmla="*/ 13 w 68"/>
            <a:gd name="T85" fmla="*/ 134 h 207"/>
            <a:gd name="T86" fmla="*/ 9 w 68"/>
            <a:gd name="T87" fmla="*/ 137 h 207"/>
            <a:gd name="T88" fmla="*/ 3 w 68"/>
            <a:gd name="T89" fmla="*/ 147 h 207"/>
            <a:gd name="T90" fmla="*/ 1 w 68"/>
            <a:gd name="T91" fmla="*/ 158 h 207"/>
            <a:gd name="T92" fmla="*/ 1 w 68"/>
            <a:gd name="T93" fmla="*/ 158 h 20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</a:cxnLst>
          <a:rect l="0" t="0" r="r" b="b"/>
          <a:pathLst>
            <a:path w="68" h="207">
              <a:moveTo>
                <a:pt x="1" y="158"/>
              </a:moveTo>
              <a:lnTo>
                <a:pt x="0" y="161"/>
              </a:lnTo>
              <a:lnTo>
                <a:pt x="3" y="166"/>
              </a:lnTo>
              <a:lnTo>
                <a:pt x="3" y="166"/>
              </a:lnTo>
              <a:lnTo>
                <a:pt x="2" y="169"/>
              </a:lnTo>
              <a:lnTo>
                <a:pt x="10" y="178"/>
              </a:lnTo>
              <a:lnTo>
                <a:pt x="15" y="179"/>
              </a:lnTo>
              <a:lnTo>
                <a:pt x="19" y="182"/>
              </a:lnTo>
              <a:lnTo>
                <a:pt x="26" y="190"/>
              </a:lnTo>
              <a:lnTo>
                <a:pt x="30" y="187"/>
              </a:lnTo>
              <a:lnTo>
                <a:pt x="38" y="187"/>
              </a:lnTo>
              <a:lnTo>
                <a:pt x="40" y="193"/>
              </a:lnTo>
              <a:lnTo>
                <a:pt x="38" y="202"/>
              </a:lnTo>
              <a:lnTo>
                <a:pt x="39" y="207"/>
              </a:lnTo>
              <a:lnTo>
                <a:pt x="43" y="207"/>
              </a:lnTo>
              <a:lnTo>
                <a:pt x="45" y="202"/>
              </a:lnTo>
              <a:lnTo>
                <a:pt x="46" y="198"/>
              </a:lnTo>
              <a:lnTo>
                <a:pt x="49" y="191"/>
              </a:lnTo>
              <a:lnTo>
                <a:pt x="50" y="181"/>
              </a:lnTo>
              <a:lnTo>
                <a:pt x="52" y="175"/>
              </a:lnTo>
              <a:lnTo>
                <a:pt x="50" y="174"/>
              </a:lnTo>
              <a:lnTo>
                <a:pt x="50" y="171"/>
              </a:lnTo>
              <a:lnTo>
                <a:pt x="54" y="166"/>
              </a:lnTo>
              <a:lnTo>
                <a:pt x="58" y="166"/>
              </a:lnTo>
              <a:lnTo>
                <a:pt x="56" y="161"/>
              </a:lnTo>
              <a:lnTo>
                <a:pt x="58" y="155"/>
              </a:lnTo>
              <a:lnTo>
                <a:pt x="57" y="150"/>
              </a:lnTo>
              <a:lnTo>
                <a:pt x="61" y="147"/>
              </a:lnTo>
              <a:lnTo>
                <a:pt x="62" y="142"/>
              </a:lnTo>
              <a:lnTo>
                <a:pt x="64" y="135"/>
              </a:lnTo>
              <a:lnTo>
                <a:pt x="66" y="130"/>
              </a:lnTo>
              <a:lnTo>
                <a:pt x="64" y="125"/>
              </a:lnTo>
              <a:lnTo>
                <a:pt x="65" y="120"/>
              </a:lnTo>
              <a:lnTo>
                <a:pt x="64" y="112"/>
              </a:lnTo>
              <a:lnTo>
                <a:pt x="63" y="106"/>
              </a:lnTo>
              <a:lnTo>
                <a:pt x="64" y="105"/>
              </a:lnTo>
              <a:lnTo>
                <a:pt x="65" y="100"/>
              </a:lnTo>
              <a:lnTo>
                <a:pt x="67" y="105"/>
              </a:lnTo>
              <a:lnTo>
                <a:pt x="66" y="110"/>
              </a:lnTo>
              <a:lnTo>
                <a:pt x="68" y="121"/>
              </a:lnTo>
              <a:lnTo>
                <a:pt x="68" y="116"/>
              </a:lnTo>
              <a:lnTo>
                <a:pt x="67" y="98"/>
              </a:lnTo>
              <a:lnTo>
                <a:pt x="66" y="93"/>
              </a:lnTo>
              <a:lnTo>
                <a:pt x="66" y="77"/>
              </a:lnTo>
              <a:lnTo>
                <a:pt x="65" y="69"/>
              </a:lnTo>
              <a:lnTo>
                <a:pt x="56" y="68"/>
              </a:lnTo>
              <a:lnTo>
                <a:pt x="52" y="69"/>
              </a:lnTo>
              <a:lnTo>
                <a:pt x="49" y="69"/>
              </a:lnTo>
              <a:lnTo>
                <a:pt x="49" y="64"/>
              </a:lnTo>
              <a:lnTo>
                <a:pt x="49" y="53"/>
              </a:lnTo>
              <a:lnTo>
                <a:pt x="52" y="46"/>
              </a:lnTo>
              <a:lnTo>
                <a:pt x="53" y="48"/>
              </a:lnTo>
              <a:lnTo>
                <a:pt x="57" y="42"/>
              </a:lnTo>
              <a:lnTo>
                <a:pt x="56" y="38"/>
              </a:lnTo>
              <a:lnTo>
                <a:pt x="58" y="30"/>
              </a:lnTo>
              <a:lnTo>
                <a:pt x="58" y="25"/>
              </a:lnTo>
              <a:lnTo>
                <a:pt x="58" y="18"/>
              </a:lnTo>
              <a:lnTo>
                <a:pt x="15" y="0"/>
              </a:lnTo>
              <a:lnTo>
                <a:pt x="11" y="6"/>
              </a:lnTo>
              <a:lnTo>
                <a:pt x="9" y="12"/>
              </a:lnTo>
              <a:lnTo>
                <a:pt x="9" y="17"/>
              </a:lnTo>
              <a:lnTo>
                <a:pt x="4" y="32"/>
              </a:lnTo>
              <a:lnTo>
                <a:pt x="0" y="37"/>
              </a:lnTo>
              <a:lnTo>
                <a:pt x="2" y="41"/>
              </a:lnTo>
              <a:lnTo>
                <a:pt x="3" y="42"/>
              </a:lnTo>
              <a:lnTo>
                <a:pt x="5" y="48"/>
              </a:lnTo>
              <a:lnTo>
                <a:pt x="4" y="53"/>
              </a:lnTo>
              <a:lnTo>
                <a:pt x="1" y="58"/>
              </a:lnTo>
              <a:lnTo>
                <a:pt x="2" y="68"/>
              </a:lnTo>
              <a:lnTo>
                <a:pt x="6" y="73"/>
              </a:lnTo>
              <a:lnTo>
                <a:pt x="10" y="76"/>
              </a:lnTo>
              <a:lnTo>
                <a:pt x="11" y="81"/>
              </a:lnTo>
              <a:lnTo>
                <a:pt x="15" y="85"/>
              </a:lnTo>
              <a:lnTo>
                <a:pt x="17" y="85"/>
              </a:lnTo>
              <a:lnTo>
                <a:pt x="21" y="90"/>
              </a:lnTo>
              <a:lnTo>
                <a:pt x="31" y="101"/>
              </a:lnTo>
              <a:lnTo>
                <a:pt x="29" y="106"/>
              </a:lnTo>
              <a:lnTo>
                <a:pt x="24" y="112"/>
              </a:lnTo>
              <a:lnTo>
                <a:pt x="21" y="117"/>
              </a:lnTo>
              <a:lnTo>
                <a:pt x="19" y="118"/>
              </a:lnTo>
              <a:lnTo>
                <a:pt x="19" y="118"/>
              </a:lnTo>
              <a:lnTo>
                <a:pt x="19" y="120"/>
              </a:lnTo>
              <a:lnTo>
                <a:pt x="17" y="125"/>
              </a:lnTo>
              <a:lnTo>
                <a:pt x="17" y="129"/>
              </a:lnTo>
              <a:lnTo>
                <a:pt x="17" y="130"/>
              </a:lnTo>
              <a:lnTo>
                <a:pt x="13" y="134"/>
              </a:lnTo>
              <a:lnTo>
                <a:pt x="11" y="135"/>
              </a:lnTo>
              <a:lnTo>
                <a:pt x="9" y="137"/>
              </a:lnTo>
              <a:lnTo>
                <a:pt x="5" y="142"/>
              </a:lnTo>
              <a:lnTo>
                <a:pt x="3" y="147"/>
              </a:lnTo>
              <a:lnTo>
                <a:pt x="2" y="155"/>
              </a:lnTo>
              <a:lnTo>
                <a:pt x="1" y="158"/>
              </a:lnTo>
              <a:lnTo>
                <a:pt x="1" y="158"/>
              </a:lnTo>
              <a:lnTo>
                <a:pt x="1" y="158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9B951778-5741-43AA-A48F-667E5232EE40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NJ
4282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487683</xdr:colOff>
      <xdr:row>9</xdr:row>
      <xdr:rowOff>101015</xdr:rowOff>
    </xdr:from>
    <xdr:to>
      <xdr:col>11</xdr:col>
      <xdr:colOff>69466</xdr:colOff>
      <xdr:row>11</xdr:row>
      <xdr:rowOff>142919</xdr:rowOff>
    </xdr:to>
    <xdr:sp macro="" textlink="data!E59">
      <xdr:nvSpPr>
        <xdr:cNvPr id="234" name="VT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SpPr>
          <a:spLocks/>
        </xdr:cNvSpPr>
      </xdr:nvSpPr>
      <xdr:spPr bwMode="auto">
        <a:xfrm>
          <a:off x="7193283" y="1558340"/>
          <a:ext cx="191383" cy="365754"/>
        </a:xfrm>
        <a:custGeom>
          <a:avLst/>
          <a:gdLst>
            <a:gd name="T0" fmla="*/ 0 w 86"/>
            <a:gd name="T1" fmla="*/ 29 h 216"/>
            <a:gd name="T2" fmla="*/ 0 w 86"/>
            <a:gd name="T3" fmla="*/ 32 h 216"/>
            <a:gd name="T4" fmla="*/ 2 w 86"/>
            <a:gd name="T5" fmla="*/ 36 h 216"/>
            <a:gd name="T6" fmla="*/ 1 w 86"/>
            <a:gd name="T7" fmla="*/ 41 h 216"/>
            <a:gd name="T8" fmla="*/ 4 w 86"/>
            <a:gd name="T9" fmla="*/ 48 h 216"/>
            <a:gd name="T10" fmla="*/ 4 w 86"/>
            <a:gd name="T11" fmla="*/ 60 h 216"/>
            <a:gd name="T12" fmla="*/ 6 w 86"/>
            <a:gd name="T13" fmla="*/ 66 h 216"/>
            <a:gd name="T14" fmla="*/ 10 w 86"/>
            <a:gd name="T15" fmla="*/ 72 h 216"/>
            <a:gd name="T16" fmla="*/ 11 w 86"/>
            <a:gd name="T17" fmla="*/ 77 h 216"/>
            <a:gd name="T18" fmla="*/ 11 w 86"/>
            <a:gd name="T19" fmla="*/ 82 h 216"/>
            <a:gd name="T20" fmla="*/ 12 w 86"/>
            <a:gd name="T21" fmla="*/ 88 h 216"/>
            <a:gd name="T22" fmla="*/ 13 w 86"/>
            <a:gd name="T23" fmla="*/ 93 h 216"/>
            <a:gd name="T24" fmla="*/ 11 w 86"/>
            <a:gd name="T25" fmla="*/ 96 h 216"/>
            <a:gd name="T26" fmla="*/ 11 w 86"/>
            <a:gd name="T27" fmla="*/ 108 h 216"/>
            <a:gd name="T28" fmla="*/ 14 w 86"/>
            <a:gd name="T29" fmla="*/ 118 h 216"/>
            <a:gd name="T30" fmla="*/ 16 w 86"/>
            <a:gd name="T31" fmla="*/ 124 h 216"/>
            <a:gd name="T32" fmla="*/ 19 w 86"/>
            <a:gd name="T33" fmla="*/ 134 h 216"/>
            <a:gd name="T34" fmla="*/ 18 w 86"/>
            <a:gd name="T35" fmla="*/ 145 h 216"/>
            <a:gd name="T36" fmla="*/ 20 w 86"/>
            <a:gd name="T37" fmla="*/ 150 h 216"/>
            <a:gd name="T38" fmla="*/ 22 w 86"/>
            <a:gd name="T39" fmla="*/ 144 h 216"/>
            <a:gd name="T40" fmla="*/ 28 w 86"/>
            <a:gd name="T41" fmla="*/ 152 h 216"/>
            <a:gd name="T42" fmla="*/ 37 w 86"/>
            <a:gd name="T43" fmla="*/ 208 h 216"/>
            <a:gd name="T44" fmla="*/ 37 w 86"/>
            <a:gd name="T45" fmla="*/ 210 h 216"/>
            <a:gd name="T46" fmla="*/ 40 w 86"/>
            <a:gd name="T47" fmla="*/ 216 h 216"/>
            <a:gd name="T48" fmla="*/ 76 w 86"/>
            <a:gd name="T49" fmla="*/ 206 h 216"/>
            <a:gd name="T50" fmla="*/ 72 w 86"/>
            <a:gd name="T51" fmla="*/ 201 h 216"/>
            <a:gd name="T52" fmla="*/ 70 w 86"/>
            <a:gd name="T53" fmla="*/ 194 h 216"/>
            <a:gd name="T54" fmla="*/ 70 w 86"/>
            <a:gd name="T55" fmla="*/ 188 h 216"/>
            <a:gd name="T56" fmla="*/ 72 w 86"/>
            <a:gd name="T57" fmla="*/ 182 h 216"/>
            <a:gd name="T58" fmla="*/ 69 w 86"/>
            <a:gd name="T59" fmla="*/ 166 h 216"/>
            <a:gd name="T60" fmla="*/ 69 w 86"/>
            <a:gd name="T61" fmla="*/ 156 h 216"/>
            <a:gd name="T62" fmla="*/ 66 w 86"/>
            <a:gd name="T63" fmla="*/ 136 h 216"/>
            <a:gd name="T64" fmla="*/ 68 w 86"/>
            <a:gd name="T65" fmla="*/ 130 h 216"/>
            <a:gd name="T66" fmla="*/ 67 w 86"/>
            <a:gd name="T67" fmla="*/ 122 h 216"/>
            <a:gd name="T68" fmla="*/ 69 w 86"/>
            <a:gd name="T69" fmla="*/ 116 h 216"/>
            <a:gd name="T70" fmla="*/ 71 w 86"/>
            <a:gd name="T71" fmla="*/ 110 h 216"/>
            <a:gd name="T72" fmla="*/ 70 w 86"/>
            <a:gd name="T73" fmla="*/ 105 h 216"/>
            <a:gd name="T74" fmla="*/ 72 w 86"/>
            <a:gd name="T75" fmla="*/ 100 h 216"/>
            <a:gd name="T76" fmla="*/ 71 w 86"/>
            <a:gd name="T77" fmla="*/ 94 h 216"/>
            <a:gd name="T78" fmla="*/ 73 w 86"/>
            <a:gd name="T79" fmla="*/ 85 h 216"/>
            <a:gd name="T80" fmla="*/ 70 w 86"/>
            <a:gd name="T81" fmla="*/ 73 h 216"/>
            <a:gd name="T82" fmla="*/ 70 w 86"/>
            <a:gd name="T83" fmla="*/ 68 h 216"/>
            <a:gd name="T84" fmla="*/ 74 w 86"/>
            <a:gd name="T85" fmla="*/ 62 h 216"/>
            <a:gd name="T86" fmla="*/ 75 w 86"/>
            <a:gd name="T87" fmla="*/ 61 h 216"/>
            <a:gd name="T88" fmla="*/ 83 w 86"/>
            <a:gd name="T89" fmla="*/ 50 h 216"/>
            <a:gd name="T90" fmla="*/ 86 w 86"/>
            <a:gd name="T91" fmla="*/ 42 h 216"/>
            <a:gd name="T92" fmla="*/ 86 w 86"/>
            <a:gd name="T93" fmla="*/ 37 h 216"/>
            <a:gd name="T94" fmla="*/ 85 w 86"/>
            <a:gd name="T95" fmla="*/ 32 h 216"/>
            <a:gd name="T96" fmla="*/ 81 w 86"/>
            <a:gd name="T97" fmla="*/ 26 h 216"/>
            <a:gd name="T98" fmla="*/ 81 w 86"/>
            <a:gd name="T99" fmla="*/ 21 h 216"/>
            <a:gd name="T100" fmla="*/ 83 w 86"/>
            <a:gd name="T101" fmla="*/ 10 h 216"/>
            <a:gd name="T102" fmla="*/ 80 w 86"/>
            <a:gd name="T103" fmla="*/ 2 h 216"/>
            <a:gd name="T104" fmla="*/ 81 w 86"/>
            <a:gd name="T105" fmla="*/ 0 h 216"/>
            <a:gd name="T106" fmla="*/ 16 w 86"/>
            <a:gd name="T107" fmla="*/ 22 h 216"/>
            <a:gd name="T108" fmla="*/ 0 w 86"/>
            <a:gd name="T109" fmla="*/ 29 h 216"/>
            <a:gd name="T110" fmla="*/ 0 w 86"/>
            <a:gd name="T111" fmla="*/ 29 h 216"/>
            <a:gd name="T112" fmla="*/ 0 w 86"/>
            <a:gd name="T113" fmla="*/ 29 h 2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86" h="216">
              <a:moveTo>
                <a:pt x="0" y="29"/>
              </a:moveTo>
              <a:lnTo>
                <a:pt x="0" y="32"/>
              </a:lnTo>
              <a:lnTo>
                <a:pt x="2" y="36"/>
              </a:lnTo>
              <a:lnTo>
                <a:pt x="1" y="41"/>
              </a:lnTo>
              <a:lnTo>
                <a:pt x="4" y="48"/>
              </a:lnTo>
              <a:lnTo>
                <a:pt x="4" y="60"/>
              </a:lnTo>
              <a:lnTo>
                <a:pt x="6" y="66"/>
              </a:lnTo>
              <a:lnTo>
                <a:pt x="10" y="72"/>
              </a:lnTo>
              <a:lnTo>
                <a:pt x="11" y="77"/>
              </a:lnTo>
              <a:lnTo>
                <a:pt x="11" y="82"/>
              </a:lnTo>
              <a:lnTo>
                <a:pt x="12" y="88"/>
              </a:lnTo>
              <a:lnTo>
                <a:pt x="13" y="93"/>
              </a:lnTo>
              <a:lnTo>
                <a:pt x="11" y="96"/>
              </a:lnTo>
              <a:lnTo>
                <a:pt x="11" y="108"/>
              </a:lnTo>
              <a:lnTo>
                <a:pt x="14" y="118"/>
              </a:lnTo>
              <a:lnTo>
                <a:pt x="16" y="124"/>
              </a:lnTo>
              <a:lnTo>
                <a:pt x="19" y="134"/>
              </a:lnTo>
              <a:lnTo>
                <a:pt x="18" y="145"/>
              </a:lnTo>
              <a:lnTo>
                <a:pt x="20" y="150"/>
              </a:lnTo>
              <a:lnTo>
                <a:pt x="22" y="144"/>
              </a:lnTo>
              <a:lnTo>
                <a:pt x="28" y="152"/>
              </a:lnTo>
              <a:lnTo>
                <a:pt x="37" y="208"/>
              </a:lnTo>
              <a:lnTo>
                <a:pt x="37" y="210"/>
              </a:lnTo>
              <a:lnTo>
                <a:pt x="40" y="216"/>
              </a:lnTo>
              <a:lnTo>
                <a:pt x="76" y="206"/>
              </a:lnTo>
              <a:lnTo>
                <a:pt x="72" y="201"/>
              </a:lnTo>
              <a:lnTo>
                <a:pt x="70" y="194"/>
              </a:lnTo>
              <a:lnTo>
                <a:pt x="70" y="188"/>
              </a:lnTo>
              <a:lnTo>
                <a:pt x="72" y="182"/>
              </a:lnTo>
              <a:lnTo>
                <a:pt x="69" y="166"/>
              </a:lnTo>
              <a:lnTo>
                <a:pt x="69" y="156"/>
              </a:lnTo>
              <a:lnTo>
                <a:pt x="66" y="136"/>
              </a:lnTo>
              <a:lnTo>
                <a:pt x="68" y="130"/>
              </a:lnTo>
              <a:lnTo>
                <a:pt x="67" y="122"/>
              </a:lnTo>
              <a:lnTo>
                <a:pt x="69" y="116"/>
              </a:lnTo>
              <a:lnTo>
                <a:pt x="71" y="110"/>
              </a:lnTo>
              <a:lnTo>
                <a:pt x="70" y="105"/>
              </a:lnTo>
              <a:lnTo>
                <a:pt x="72" y="100"/>
              </a:lnTo>
              <a:lnTo>
                <a:pt x="71" y="94"/>
              </a:lnTo>
              <a:lnTo>
                <a:pt x="73" y="85"/>
              </a:lnTo>
              <a:lnTo>
                <a:pt x="70" y="73"/>
              </a:lnTo>
              <a:lnTo>
                <a:pt x="70" y="68"/>
              </a:lnTo>
              <a:lnTo>
                <a:pt x="74" y="62"/>
              </a:lnTo>
              <a:lnTo>
                <a:pt x="75" y="61"/>
              </a:lnTo>
              <a:lnTo>
                <a:pt x="83" y="50"/>
              </a:lnTo>
              <a:lnTo>
                <a:pt x="86" y="42"/>
              </a:lnTo>
              <a:lnTo>
                <a:pt x="86" y="37"/>
              </a:lnTo>
              <a:lnTo>
                <a:pt x="85" y="32"/>
              </a:lnTo>
              <a:lnTo>
                <a:pt x="81" y="26"/>
              </a:lnTo>
              <a:lnTo>
                <a:pt x="81" y="21"/>
              </a:lnTo>
              <a:lnTo>
                <a:pt x="83" y="10"/>
              </a:lnTo>
              <a:lnTo>
                <a:pt x="80" y="2"/>
              </a:lnTo>
              <a:lnTo>
                <a:pt x="81" y="0"/>
              </a:lnTo>
              <a:lnTo>
                <a:pt x="16" y="22"/>
              </a:lnTo>
              <a:lnTo>
                <a:pt x="0" y="29"/>
              </a:lnTo>
              <a:lnTo>
                <a:pt x="0" y="29"/>
              </a:lnTo>
              <a:lnTo>
                <a:pt x="0" y="29"/>
              </a:lnTo>
              <a:close/>
            </a:path>
          </a:pathLst>
        </a:custGeom>
        <a:solidFill>
          <a:srgbClr val="FEF0D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D98C4F4E-5E14-46AC-B732-647C3731573D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VT
844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576995</xdr:colOff>
      <xdr:row>11</xdr:row>
      <xdr:rowOff>49354</xdr:rowOff>
    </xdr:from>
    <xdr:to>
      <xdr:col>11</xdr:col>
      <xdr:colOff>337402</xdr:colOff>
      <xdr:row>12</xdr:row>
      <xdr:rowOff>95824</xdr:rowOff>
    </xdr:to>
    <xdr:sp macro="" textlink="data!E30">
      <xdr:nvSpPr>
        <xdr:cNvPr id="235" name="MA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SpPr>
          <a:spLocks/>
        </xdr:cNvSpPr>
      </xdr:nvSpPr>
      <xdr:spPr bwMode="auto">
        <a:xfrm>
          <a:off x="7282595" y="1830529"/>
          <a:ext cx="370007" cy="208395"/>
        </a:xfrm>
        <a:custGeom>
          <a:avLst/>
          <a:gdLst>
            <a:gd name="T0" fmla="*/ 0 w 171"/>
            <a:gd name="T1" fmla="*/ 56 h 120"/>
            <a:gd name="T2" fmla="*/ 1 w 171"/>
            <a:gd name="T3" fmla="*/ 112 h 120"/>
            <a:gd name="T4" fmla="*/ 33 w 171"/>
            <a:gd name="T5" fmla="*/ 104 h 120"/>
            <a:gd name="T6" fmla="*/ 43 w 171"/>
            <a:gd name="T7" fmla="*/ 102 h 120"/>
            <a:gd name="T8" fmla="*/ 71 w 171"/>
            <a:gd name="T9" fmla="*/ 91 h 120"/>
            <a:gd name="T10" fmla="*/ 80 w 171"/>
            <a:gd name="T11" fmla="*/ 90 h 120"/>
            <a:gd name="T12" fmla="*/ 100 w 171"/>
            <a:gd name="T13" fmla="*/ 87 h 120"/>
            <a:gd name="T14" fmla="*/ 104 w 171"/>
            <a:gd name="T15" fmla="*/ 94 h 120"/>
            <a:gd name="T16" fmla="*/ 107 w 171"/>
            <a:gd name="T17" fmla="*/ 102 h 120"/>
            <a:gd name="T18" fmla="*/ 110 w 171"/>
            <a:gd name="T19" fmla="*/ 104 h 120"/>
            <a:gd name="T20" fmla="*/ 114 w 171"/>
            <a:gd name="T21" fmla="*/ 96 h 120"/>
            <a:gd name="T22" fmla="*/ 113 w 171"/>
            <a:gd name="T23" fmla="*/ 107 h 120"/>
            <a:gd name="T24" fmla="*/ 119 w 171"/>
            <a:gd name="T25" fmla="*/ 118 h 120"/>
            <a:gd name="T26" fmla="*/ 122 w 171"/>
            <a:gd name="T27" fmla="*/ 115 h 120"/>
            <a:gd name="T28" fmla="*/ 128 w 171"/>
            <a:gd name="T29" fmla="*/ 106 h 120"/>
            <a:gd name="T30" fmla="*/ 134 w 171"/>
            <a:gd name="T31" fmla="*/ 96 h 120"/>
            <a:gd name="T32" fmla="*/ 138 w 171"/>
            <a:gd name="T33" fmla="*/ 98 h 120"/>
            <a:gd name="T34" fmla="*/ 145 w 171"/>
            <a:gd name="T35" fmla="*/ 107 h 120"/>
            <a:gd name="T36" fmla="*/ 150 w 171"/>
            <a:gd name="T37" fmla="*/ 98 h 120"/>
            <a:gd name="T38" fmla="*/ 164 w 171"/>
            <a:gd name="T39" fmla="*/ 90 h 120"/>
            <a:gd name="T40" fmla="*/ 171 w 171"/>
            <a:gd name="T41" fmla="*/ 82 h 120"/>
            <a:gd name="T42" fmla="*/ 163 w 171"/>
            <a:gd name="T43" fmla="*/ 60 h 120"/>
            <a:gd name="T44" fmla="*/ 155 w 171"/>
            <a:gd name="T45" fmla="*/ 55 h 120"/>
            <a:gd name="T46" fmla="*/ 155 w 171"/>
            <a:gd name="T47" fmla="*/ 58 h 120"/>
            <a:gd name="T48" fmla="*/ 161 w 171"/>
            <a:gd name="T49" fmla="*/ 67 h 120"/>
            <a:gd name="T50" fmla="*/ 166 w 171"/>
            <a:gd name="T51" fmla="*/ 75 h 120"/>
            <a:gd name="T52" fmla="*/ 154 w 171"/>
            <a:gd name="T53" fmla="*/ 88 h 120"/>
            <a:gd name="T54" fmla="*/ 146 w 171"/>
            <a:gd name="T55" fmla="*/ 88 h 120"/>
            <a:gd name="T56" fmla="*/ 140 w 171"/>
            <a:gd name="T57" fmla="*/ 75 h 120"/>
            <a:gd name="T58" fmla="*/ 132 w 171"/>
            <a:gd name="T59" fmla="*/ 71 h 120"/>
            <a:gd name="T60" fmla="*/ 136 w 171"/>
            <a:gd name="T61" fmla="*/ 68 h 120"/>
            <a:gd name="T62" fmla="*/ 124 w 171"/>
            <a:gd name="T63" fmla="*/ 52 h 120"/>
            <a:gd name="T64" fmla="*/ 115 w 171"/>
            <a:gd name="T65" fmla="*/ 55 h 120"/>
            <a:gd name="T66" fmla="*/ 108 w 171"/>
            <a:gd name="T67" fmla="*/ 47 h 120"/>
            <a:gd name="T68" fmla="*/ 111 w 171"/>
            <a:gd name="T69" fmla="*/ 42 h 120"/>
            <a:gd name="T70" fmla="*/ 114 w 171"/>
            <a:gd name="T71" fmla="*/ 34 h 120"/>
            <a:gd name="T72" fmla="*/ 124 w 171"/>
            <a:gd name="T73" fmla="*/ 20 h 120"/>
            <a:gd name="T74" fmla="*/ 120 w 171"/>
            <a:gd name="T75" fmla="*/ 15 h 120"/>
            <a:gd name="T76" fmla="*/ 117 w 171"/>
            <a:gd name="T77" fmla="*/ 18 h 120"/>
            <a:gd name="T78" fmla="*/ 112 w 171"/>
            <a:gd name="T79" fmla="*/ 8 h 120"/>
            <a:gd name="T80" fmla="*/ 110 w 171"/>
            <a:gd name="T81" fmla="*/ 0 h 120"/>
            <a:gd name="T82" fmla="*/ 106 w 171"/>
            <a:gd name="T83" fmla="*/ 0 h 120"/>
            <a:gd name="T84" fmla="*/ 99 w 171"/>
            <a:gd name="T85" fmla="*/ 10 h 120"/>
            <a:gd name="T86" fmla="*/ 95 w 171"/>
            <a:gd name="T87" fmla="*/ 15 h 120"/>
            <a:gd name="T88" fmla="*/ 37 w 171"/>
            <a:gd name="T89" fmla="*/ 40 h 120"/>
            <a:gd name="T90" fmla="*/ 1 w 171"/>
            <a:gd name="T91" fmla="*/ 50 h 12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171" h="120">
              <a:moveTo>
                <a:pt x="1" y="50"/>
              </a:moveTo>
              <a:lnTo>
                <a:pt x="0" y="56"/>
              </a:lnTo>
              <a:lnTo>
                <a:pt x="0" y="110"/>
              </a:lnTo>
              <a:lnTo>
                <a:pt x="1" y="112"/>
              </a:lnTo>
              <a:lnTo>
                <a:pt x="29" y="104"/>
              </a:lnTo>
              <a:lnTo>
                <a:pt x="33" y="104"/>
              </a:lnTo>
              <a:lnTo>
                <a:pt x="41" y="100"/>
              </a:lnTo>
              <a:lnTo>
                <a:pt x="43" y="102"/>
              </a:lnTo>
              <a:lnTo>
                <a:pt x="47" y="99"/>
              </a:lnTo>
              <a:lnTo>
                <a:pt x="71" y="91"/>
              </a:lnTo>
              <a:lnTo>
                <a:pt x="77" y="88"/>
              </a:lnTo>
              <a:lnTo>
                <a:pt x="80" y="90"/>
              </a:lnTo>
              <a:lnTo>
                <a:pt x="96" y="83"/>
              </a:lnTo>
              <a:lnTo>
                <a:pt x="100" y="87"/>
              </a:lnTo>
              <a:lnTo>
                <a:pt x="101" y="92"/>
              </a:lnTo>
              <a:lnTo>
                <a:pt x="104" y="94"/>
              </a:lnTo>
              <a:lnTo>
                <a:pt x="104" y="98"/>
              </a:lnTo>
              <a:lnTo>
                <a:pt x="107" y="102"/>
              </a:lnTo>
              <a:lnTo>
                <a:pt x="107" y="102"/>
              </a:lnTo>
              <a:lnTo>
                <a:pt x="110" y="104"/>
              </a:lnTo>
              <a:lnTo>
                <a:pt x="114" y="102"/>
              </a:lnTo>
              <a:lnTo>
                <a:pt x="114" y="96"/>
              </a:lnTo>
              <a:lnTo>
                <a:pt x="114" y="102"/>
              </a:lnTo>
              <a:lnTo>
                <a:pt x="113" y="107"/>
              </a:lnTo>
              <a:lnTo>
                <a:pt x="117" y="110"/>
              </a:lnTo>
              <a:lnTo>
                <a:pt x="119" y="118"/>
              </a:lnTo>
              <a:lnTo>
                <a:pt x="119" y="120"/>
              </a:lnTo>
              <a:lnTo>
                <a:pt x="122" y="115"/>
              </a:lnTo>
              <a:lnTo>
                <a:pt x="126" y="115"/>
              </a:lnTo>
              <a:lnTo>
                <a:pt x="128" y="106"/>
              </a:lnTo>
              <a:lnTo>
                <a:pt x="132" y="102"/>
              </a:lnTo>
              <a:lnTo>
                <a:pt x="134" y="96"/>
              </a:lnTo>
              <a:lnTo>
                <a:pt x="138" y="92"/>
              </a:lnTo>
              <a:lnTo>
                <a:pt x="138" y="98"/>
              </a:lnTo>
              <a:lnTo>
                <a:pt x="140" y="110"/>
              </a:lnTo>
              <a:lnTo>
                <a:pt x="145" y="107"/>
              </a:lnTo>
              <a:lnTo>
                <a:pt x="149" y="103"/>
              </a:lnTo>
              <a:lnTo>
                <a:pt x="150" y="98"/>
              </a:lnTo>
              <a:lnTo>
                <a:pt x="152" y="99"/>
              </a:lnTo>
              <a:lnTo>
                <a:pt x="164" y="90"/>
              </a:lnTo>
              <a:lnTo>
                <a:pt x="169" y="87"/>
              </a:lnTo>
              <a:lnTo>
                <a:pt x="171" y="82"/>
              </a:lnTo>
              <a:lnTo>
                <a:pt x="169" y="71"/>
              </a:lnTo>
              <a:lnTo>
                <a:pt x="163" y="60"/>
              </a:lnTo>
              <a:lnTo>
                <a:pt x="159" y="56"/>
              </a:lnTo>
              <a:lnTo>
                <a:pt x="155" y="55"/>
              </a:lnTo>
              <a:lnTo>
                <a:pt x="150" y="56"/>
              </a:lnTo>
              <a:lnTo>
                <a:pt x="155" y="58"/>
              </a:lnTo>
              <a:lnTo>
                <a:pt x="159" y="60"/>
              </a:lnTo>
              <a:lnTo>
                <a:pt x="161" y="67"/>
              </a:lnTo>
              <a:lnTo>
                <a:pt x="164" y="66"/>
              </a:lnTo>
              <a:lnTo>
                <a:pt x="166" y="75"/>
              </a:lnTo>
              <a:lnTo>
                <a:pt x="163" y="80"/>
              </a:lnTo>
              <a:lnTo>
                <a:pt x="154" y="88"/>
              </a:lnTo>
              <a:lnTo>
                <a:pt x="150" y="87"/>
              </a:lnTo>
              <a:lnTo>
                <a:pt x="146" y="88"/>
              </a:lnTo>
              <a:lnTo>
                <a:pt x="144" y="86"/>
              </a:lnTo>
              <a:lnTo>
                <a:pt x="140" y="75"/>
              </a:lnTo>
              <a:lnTo>
                <a:pt x="136" y="74"/>
              </a:lnTo>
              <a:lnTo>
                <a:pt x="132" y="71"/>
              </a:lnTo>
              <a:lnTo>
                <a:pt x="132" y="66"/>
              </a:lnTo>
              <a:lnTo>
                <a:pt x="136" y="68"/>
              </a:lnTo>
              <a:lnTo>
                <a:pt x="132" y="63"/>
              </a:lnTo>
              <a:lnTo>
                <a:pt x="124" y="52"/>
              </a:lnTo>
              <a:lnTo>
                <a:pt x="120" y="52"/>
              </a:lnTo>
              <a:lnTo>
                <a:pt x="115" y="55"/>
              </a:lnTo>
              <a:lnTo>
                <a:pt x="111" y="52"/>
              </a:lnTo>
              <a:lnTo>
                <a:pt x="108" y="47"/>
              </a:lnTo>
              <a:lnTo>
                <a:pt x="113" y="47"/>
              </a:lnTo>
              <a:lnTo>
                <a:pt x="111" y="42"/>
              </a:lnTo>
              <a:lnTo>
                <a:pt x="114" y="35"/>
              </a:lnTo>
              <a:lnTo>
                <a:pt x="114" y="34"/>
              </a:lnTo>
              <a:lnTo>
                <a:pt x="116" y="28"/>
              </a:lnTo>
              <a:lnTo>
                <a:pt x="124" y="20"/>
              </a:lnTo>
              <a:lnTo>
                <a:pt x="124" y="15"/>
              </a:lnTo>
              <a:lnTo>
                <a:pt x="120" y="15"/>
              </a:lnTo>
              <a:lnTo>
                <a:pt x="121" y="16"/>
              </a:lnTo>
              <a:lnTo>
                <a:pt x="117" y="18"/>
              </a:lnTo>
              <a:lnTo>
                <a:pt x="113" y="14"/>
              </a:lnTo>
              <a:lnTo>
                <a:pt x="112" y="8"/>
              </a:lnTo>
              <a:lnTo>
                <a:pt x="109" y="6"/>
              </a:lnTo>
              <a:lnTo>
                <a:pt x="110" y="0"/>
              </a:lnTo>
              <a:lnTo>
                <a:pt x="108" y="0"/>
              </a:lnTo>
              <a:lnTo>
                <a:pt x="106" y="0"/>
              </a:lnTo>
              <a:lnTo>
                <a:pt x="102" y="4"/>
              </a:lnTo>
              <a:lnTo>
                <a:pt x="99" y="10"/>
              </a:lnTo>
              <a:lnTo>
                <a:pt x="98" y="10"/>
              </a:lnTo>
              <a:lnTo>
                <a:pt x="95" y="15"/>
              </a:lnTo>
              <a:lnTo>
                <a:pt x="90" y="23"/>
              </a:lnTo>
              <a:lnTo>
                <a:pt x="37" y="40"/>
              </a:lnTo>
              <a:lnTo>
                <a:pt x="1" y="50"/>
              </a:lnTo>
              <a:lnTo>
                <a:pt x="1" y="50"/>
              </a:lnTo>
              <a:lnTo>
                <a:pt x="1" y="50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3862264D-B2CD-44C6-AC35-3FDC9459337D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MA
3900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576995</xdr:colOff>
      <xdr:row>12</xdr:row>
      <xdr:rowOff>44788</xdr:rowOff>
    </xdr:from>
    <xdr:to>
      <xdr:col>11</xdr:col>
      <xdr:colOff>158778</xdr:colOff>
      <xdr:row>13</xdr:row>
      <xdr:rowOff>65740</xdr:rowOff>
    </xdr:to>
    <xdr:sp macro="" textlink="data!E17">
      <xdr:nvSpPr>
        <xdr:cNvPr id="236" name="CT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>
          <a:spLocks/>
        </xdr:cNvSpPr>
      </xdr:nvSpPr>
      <xdr:spPr bwMode="auto">
        <a:xfrm>
          <a:off x="7282595" y="1987888"/>
          <a:ext cx="191383" cy="182877"/>
        </a:xfrm>
        <a:custGeom>
          <a:avLst/>
          <a:gdLst>
            <a:gd name="T0" fmla="*/ 0 w 89"/>
            <a:gd name="T1" fmla="*/ 24 h 115"/>
            <a:gd name="T2" fmla="*/ 9 w 89"/>
            <a:gd name="T3" fmla="*/ 87 h 115"/>
            <a:gd name="T4" fmla="*/ 11 w 89"/>
            <a:gd name="T5" fmla="*/ 92 h 115"/>
            <a:gd name="T6" fmla="*/ 11 w 89"/>
            <a:gd name="T7" fmla="*/ 98 h 115"/>
            <a:gd name="T8" fmla="*/ 5 w 89"/>
            <a:gd name="T9" fmla="*/ 107 h 115"/>
            <a:gd name="T10" fmla="*/ 5 w 89"/>
            <a:gd name="T11" fmla="*/ 110 h 115"/>
            <a:gd name="T12" fmla="*/ 7 w 89"/>
            <a:gd name="T13" fmla="*/ 112 h 115"/>
            <a:gd name="T14" fmla="*/ 9 w 89"/>
            <a:gd name="T15" fmla="*/ 115 h 115"/>
            <a:gd name="T16" fmla="*/ 13 w 89"/>
            <a:gd name="T17" fmla="*/ 114 h 115"/>
            <a:gd name="T18" fmla="*/ 21 w 89"/>
            <a:gd name="T19" fmla="*/ 102 h 115"/>
            <a:gd name="T20" fmla="*/ 25 w 89"/>
            <a:gd name="T21" fmla="*/ 99 h 115"/>
            <a:gd name="T22" fmla="*/ 28 w 89"/>
            <a:gd name="T23" fmla="*/ 92 h 115"/>
            <a:gd name="T24" fmla="*/ 31 w 89"/>
            <a:gd name="T25" fmla="*/ 95 h 115"/>
            <a:gd name="T26" fmla="*/ 37 w 89"/>
            <a:gd name="T27" fmla="*/ 84 h 115"/>
            <a:gd name="T28" fmla="*/ 41 w 89"/>
            <a:gd name="T29" fmla="*/ 83 h 115"/>
            <a:gd name="T30" fmla="*/ 45 w 89"/>
            <a:gd name="T31" fmla="*/ 79 h 115"/>
            <a:gd name="T32" fmla="*/ 50 w 89"/>
            <a:gd name="T33" fmla="*/ 79 h 115"/>
            <a:gd name="T34" fmla="*/ 52 w 89"/>
            <a:gd name="T35" fmla="*/ 76 h 115"/>
            <a:gd name="T36" fmla="*/ 64 w 89"/>
            <a:gd name="T37" fmla="*/ 72 h 115"/>
            <a:gd name="T38" fmla="*/ 64 w 89"/>
            <a:gd name="T39" fmla="*/ 70 h 115"/>
            <a:gd name="T40" fmla="*/ 63 w 89"/>
            <a:gd name="T41" fmla="*/ 66 h 115"/>
            <a:gd name="T42" fmla="*/ 65 w 89"/>
            <a:gd name="T43" fmla="*/ 67 h 115"/>
            <a:gd name="T44" fmla="*/ 65 w 89"/>
            <a:gd name="T45" fmla="*/ 70 h 115"/>
            <a:gd name="T46" fmla="*/ 69 w 89"/>
            <a:gd name="T47" fmla="*/ 70 h 115"/>
            <a:gd name="T48" fmla="*/ 78 w 89"/>
            <a:gd name="T49" fmla="*/ 63 h 115"/>
            <a:gd name="T50" fmla="*/ 86 w 89"/>
            <a:gd name="T51" fmla="*/ 59 h 115"/>
            <a:gd name="T52" fmla="*/ 88 w 89"/>
            <a:gd name="T53" fmla="*/ 60 h 115"/>
            <a:gd name="T54" fmla="*/ 88 w 89"/>
            <a:gd name="T55" fmla="*/ 58 h 115"/>
            <a:gd name="T56" fmla="*/ 88 w 89"/>
            <a:gd name="T57" fmla="*/ 55 h 115"/>
            <a:gd name="T58" fmla="*/ 89 w 89"/>
            <a:gd name="T59" fmla="*/ 51 h 115"/>
            <a:gd name="T60" fmla="*/ 88 w 89"/>
            <a:gd name="T61" fmla="*/ 46 h 115"/>
            <a:gd name="T62" fmla="*/ 79 w 89"/>
            <a:gd name="T63" fmla="*/ 2 h 115"/>
            <a:gd name="T64" fmla="*/ 76 w 89"/>
            <a:gd name="T65" fmla="*/ 0 h 115"/>
            <a:gd name="T66" fmla="*/ 70 w 89"/>
            <a:gd name="T67" fmla="*/ 3 h 115"/>
            <a:gd name="T68" fmla="*/ 46 w 89"/>
            <a:gd name="T69" fmla="*/ 11 h 115"/>
            <a:gd name="T70" fmla="*/ 42 w 89"/>
            <a:gd name="T71" fmla="*/ 14 h 115"/>
            <a:gd name="T72" fmla="*/ 40 w 89"/>
            <a:gd name="T73" fmla="*/ 12 h 115"/>
            <a:gd name="T74" fmla="*/ 32 w 89"/>
            <a:gd name="T75" fmla="*/ 16 h 115"/>
            <a:gd name="T76" fmla="*/ 28 w 89"/>
            <a:gd name="T77" fmla="*/ 16 h 115"/>
            <a:gd name="T78" fmla="*/ 0 w 89"/>
            <a:gd name="T79" fmla="*/ 24 h 115"/>
            <a:gd name="T80" fmla="*/ 0 w 89"/>
            <a:gd name="T81" fmla="*/ 24 h 115"/>
            <a:gd name="T82" fmla="*/ 0 w 89"/>
            <a:gd name="T83" fmla="*/ 24 h 1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</a:cxnLst>
          <a:rect l="0" t="0" r="r" b="b"/>
          <a:pathLst>
            <a:path w="89" h="115">
              <a:moveTo>
                <a:pt x="0" y="24"/>
              </a:moveTo>
              <a:lnTo>
                <a:pt x="9" y="87"/>
              </a:lnTo>
              <a:lnTo>
                <a:pt x="11" y="92"/>
              </a:lnTo>
              <a:lnTo>
                <a:pt x="11" y="98"/>
              </a:lnTo>
              <a:lnTo>
                <a:pt x="5" y="107"/>
              </a:lnTo>
              <a:lnTo>
                <a:pt x="5" y="110"/>
              </a:lnTo>
              <a:lnTo>
                <a:pt x="7" y="112"/>
              </a:lnTo>
              <a:lnTo>
                <a:pt x="9" y="115"/>
              </a:lnTo>
              <a:lnTo>
                <a:pt x="13" y="114"/>
              </a:lnTo>
              <a:lnTo>
                <a:pt x="21" y="102"/>
              </a:lnTo>
              <a:lnTo>
                <a:pt x="25" y="99"/>
              </a:lnTo>
              <a:lnTo>
                <a:pt x="28" y="92"/>
              </a:lnTo>
              <a:lnTo>
                <a:pt x="31" y="95"/>
              </a:lnTo>
              <a:lnTo>
                <a:pt x="37" y="84"/>
              </a:lnTo>
              <a:lnTo>
                <a:pt x="41" y="83"/>
              </a:lnTo>
              <a:lnTo>
                <a:pt x="45" y="79"/>
              </a:lnTo>
              <a:lnTo>
                <a:pt x="50" y="79"/>
              </a:lnTo>
              <a:lnTo>
                <a:pt x="52" y="76"/>
              </a:lnTo>
              <a:lnTo>
                <a:pt x="64" y="72"/>
              </a:lnTo>
              <a:lnTo>
                <a:pt x="64" y="70"/>
              </a:lnTo>
              <a:lnTo>
                <a:pt x="63" y="66"/>
              </a:lnTo>
              <a:lnTo>
                <a:pt x="65" y="67"/>
              </a:lnTo>
              <a:lnTo>
                <a:pt x="65" y="70"/>
              </a:lnTo>
              <a:lnTo>
                <a:pt x="69" y="70"/>
              </a:lnTo>
              <a:lnTo>
                <a:pt x="78" y="63"/>
              </a:lnTo>
              <a:lnTo>
                <a:pt x="86" y="59"/>
              </a:lnTo>
              <a:lnTo>
                <a:pt x="88" y="60"/>
              </a:lnTo>
              <a:lnTo>
                <a:pt x="88" y="58"/>
              </a:lnTo>
              <a:lnTo>
                <a:pt x="88" y="55"/>
              </a:lnTo>
              <a:lnTo>
                <a:pt x="89" y="51"/>
              </a:lnTo>
              <a:lnTo>
                <a:pt x="88" y="46"/>
              </a:lnTo>
              <a:lnTo>
                <a:pt x="79" y="2"/>
              </a:lnTo>
              <a:lnTo>
                <a:pt x="76" y="0"/>
              </a:lnTo>
              <a:lnTo>
                <a:pt x="70" y="3"/>
              </a:lnTo>
              <a:lnTo>
                <a:pt x="46" y="11"/>
              </a:lnTo>
              <a:lnTo>
                <a:pt x="42" y="14"/>
              </a:lnTo>
              <a:lnTo>
                <a:pt x="40" y="12"/>
              </a:lnTo>
              <a:lnTo>
                <a:pt x="32" y="16"/>
              </a:lnTo>
              <a:lnTo>
                <a:pt x="28" y="16"/>
              </a:lnTo>
              <a:lnTo>
                <a:pt x="0" y="24"/>
              </a:lnTo>
              <a:lnTo>
                <a:pt x="0" y="24"/>
              </a:lnTo>
              <a:lnTo>
                <a:pt x="0" y="24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BC738A30-4C52-4CAB-877D-FA2FAF21846E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CT
3934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18431</xdr:colOff>
      <xdr:row>9</xdr:row>
      <xdr:rowOff>49980</xdr:rowOff>
    </xdr:from>
    <xdr:to>
      <xdr:col>11</xdr:col>
      <xdr:colOff>209814</xdr:colOff>
      <xdr:row>11</xdr:row>
      <xdr:rowOff>113149</xdr:rowOff>
    </xdr:to>
    <xdr:sp macro="" textlink="data!E41">
      <xdr:nvSpPr>
        <xdr:cNvPr id="237" name="NH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>
          <a:spLocks/>
        </xdr:cNvSpPr>
      </xdr:nvSpPr>
      <xdr:spPr bwMode="auto">
        <a:xfrm>
          <a:off x="7333631" y="1507305"/>
          <a:ext cx="191383" cy="387019"/>
        </a:xfrm>
        <a:custGeom>
          <a:avLst/>
          <a:gdLst>
            <a:gd name="T0" fmla="*/ 10 w 85"/>
            <a:gd name="T1" fmla="*/ 237 h 237"/>
            <a:gd name="T2" fmla="*/ 63 w 85"/>
            <a:gd name="T3" fmla="*/ 220 h 237"/>
            <a:gd name="T4" fmla="*/ 68 w 85"/>
            <a:gd name="T5" fmla="*/ 212 h 237"/>
            <a:gd name="T6" fmla="*/ 71 w 85"/>
            <a:gd name="T7" fmla="*/ 207 h 237"/>
            <a:gd name="T8" fmla="*/ 72 w 85"/>
            <a:gd name="T9" fmla="*/ 207 h 237"/>
            <a:gd name="T10" fmla="*/ 75 w 85"/>
            <a:gd name="T11" fmla="*/ 201 h 237"/>
            <a:gd name="T12" fmla="*/ 79 w 85"/>
            <a:gd name="T13" fmla="*/ 197 h 237"/>
            <a:gd name="T14" fmla="*/ 81 w 85"/>
            <a:gd name="T15" fmla="*/ 197 h 237"/>
            <a:gd name="T16" fmla="*/ 83 w 85"/>
            <a:gd name="T17" fmla="*/ 197 h 237"/>
            <a:gd name="T18" fmla="*/ 83 w 85"/>
            <a:gd name="T19" fmla="*/ 192 h 237"/>
            <a:gd name="T20" fmla="*/ 85 w 85"/>
            <a:gd name="T21" fmla="*/ 181 h 237"/>
            <a:gd name="T22" fmla="*/ 83 w 85"/>
            <a:gd name="T23" fmla="*/ 179 h 237"/>
            <a:gd name="T24" fmla="*/ 81 w 85"/>
            <a:gd name="T25" fmla="*/ 179 h 237"/>
            <a:gd name="T26" fmla="*/ 77 w 85"/>
            <a:gd name="T27" fmla="*/ 172 h 237"/>
            <a:gd name="T28" fmla="*/ 77 w 85"/>
            <a:gd name="T29" fmla="*/ 167 h 237"/>
            <a:gd name="T30" fmla="*/ 72 w 85"/>
            <a:gd name="T31" fmla="*/ 164 h 237"/>
            <a:gd name="T32" fmla="*/ 68 w 85"/>
            <a:gd name="T33" fmla="*/ 160 h 237"/>
            <a:gd name="T34" fmla="*/ 66 w 85"/>
            <a:gd name="T35" fmla="*/ 155 h 237"/>
            <a:gd name="T36" fmla="*/ 65 w 85"/>
            <a:gd name="T37" fmla="*/ 149 h 237"/>
            <a:gd name="T38" fmla="*/ 65 w 85"/>
            <a:gd name="T39" fmla="*/ 143 h 237"/>
            <a:gd name="T40" fmla="*/ 60 w 85"/>
            <a:gd name="T41" fmla="*/ 127 h 237"/>
            <a:gd name="T42" fmla="*/ 30 w 85"/>
            <a:gd name="T43" fmla="*/ 3 h 237"/>
            <a:gd name="T44" fmla="*/ 29 w 85"/>
            <a:gd name="T45" fmla="*/ 0 h 237"/>
            <a:gd name="T46" fmla="*/ 25 w 85"/>
            <a:gd name="T47" fmla="*/ 5 h 237"/>
            <a:gd name="T48" fmla="*/ 21 w 85"/>
            <a:gd name="T49" fmla="*/ 4 h 237"/>
            <a:gd name="T50" fmla="*/ 17 w 85"/>
            <a:gd name="T51" fmla="*/ 8 h 237"/>
            <a:gd name="T52" fmla="*/ 17 w 85"/>
            <a:gd name="T53" fmla="*/ 13 h 237"/>
            <a:gd name="T54" fmla="*/ 15 w 85"/>
            <a:gd name="T55" fmla="*/ 24 h 237"/>
            <a:gd name="T56" fmla="*/ 16 w 85"/>
            <a:gd name="T57" fmla="*/ 29 h 237"/>
            <a:gd name="T58" fmla="*/ 15 w 85"/>
            <a:gd name="T59" fmla="*/ 31 h 237"/>
            <a:gd name="T60" fmla="*/ 14 w 85"/>
            <a:gd name="T61" fmla="*/ 33 h 237"/>
            <a:gd name="T62" fmla="*/ 17 w 85"/>
            <a:gd name="T63" fmla="*/ 41 h 237"/>
            <a:gd name="T64" fmla="*/ 15 w 85"/>
            <a:gd name="T65" fmla="*/ 52 h 237"/>
            <a:gd name="T66" fmla="*/ 15 w 85"/>
            <a:gd name="T67" fmla="*/ 57 h 237"/>
            <a:gd name="T68" fmla="*/ 19 w 85"/>
            <a:gd name="T69" fmla="*/ 63 h 237"/>
            <a:gd name="T70" fmla="*/ 20 w 85"/>
            <a:gd name="T71" fmla="*/ 68 h 237"/>
            <a:gd name="T72" fmla="*/ 20 w 85"/>
            <a:gd name="T73" fmla="*/ 73 h 237"/>
            <a:gd name="T74" fmla="*/ 17 w 85"/>
            <a:gd name="T75" fmla="*/ 81 h 237"/>
            <a:gd name="T76" fmla="*/ 9 w 85"/>
            <a:gd name="T77" fmla="*/ 92 h 237"/>
            <a:gd name="T78" fmla="*/ 8 w 85"/>
            <a:gd name="T79" fmla="*/ 93 h 237"/>
            <a:gd name="T80" fmla="*/ 4 w 85"/>
            <a:gd name="T81" fmla="*/ 99 h 237"/>
            <a:gd name="T82" fmla="*/ 4 w 85"/>
            <a:gd name="T83" fmla="*/ 104 h 237"/>
            <a:gd name="T84" fmla="*/ 7 w 85"/>
            <a:gd name="T85" fmla="*/ 116 h 237"/>
            <a:gd name="T86" fmla="*/ 5 w 85"/>
            <a:gd name="T87" fmla="*/ 125 h 237"/>
            <a:gd name="T88" fmla="*/ 6 w 85"/>
            <a:gd name="T89" fmla="*/ 131 h 237"/>
            <a:gd name="T90" fmla="*/ 4 w 85"/>
            <a:gd name="T91" fmla="*/ 136 h 237"/>
            <a:gd name="T92" fmla="*/ 5 w 85"/>
            <a:gd name="T93" fmla="*/ 141 h 237"/>
            <a:gd name="T94" fmla="*/ 3 w 85"/>
            <a:gd name="T95" fmla="*/ 147 h 237"/>
            <a:gd name="T96" fmla="*/ 1 w 85"/>
            <a:gd name="T97" fmla="*/ 153 h 237"/>
            <a:gd name="T98" fmla="*/ 2 w 85"/>
            <a:gd name="T99" fmla="*/ 161 h 237"/>
            <a:gd name="T100" fmla="*/ 0 w 85"/>
            <a:gd name="T101" fmla="*/ 167 h 237"/>
            <a:gd name="T102" fmla="*/ 3 w 85"/>
            <a:gd name="T103" fmla="*/ 187 h 237"/>
            <a:gd name="T104" fmla="*/ 3 w 85"/>
            <a:gd name="T105" fmla="*/ 197 h 237"/>
            <a:gd name="T106" fmla="*/ 6 w 85"/>
            <a:gd name="T107" fmla="*/ 213 h 237"/>
            <a:gd name="T108" fmla="*/ 4 w 85"/>
            <a:gd name="T109" fmla="*/ 219 h 237"/>
            <a:gd name="T110" fmla="*/ 4 w 85"/>
            <a:gd name="T111" fmla="*/ 225 h 237"/>
            <a:gd name="T112" fmla="*/ 6 w 85"/>
            <a:gd name="T113" fmla="*/ 232 h 237"/>
            <a:gd name="T114" fmla="*/ 10 w 85"/>
            <a:gd name="T115" fmla="*/ 237 h 237"/>
            <a:gd name="T116" fmla="*/ 10 w 85"/>
            <a:gd name="T117" fmla="*/ 237 h 237"/>
            <a:gd name="T118" fmla="*/ 10 w 85"/>
            <a:gd name="T119" fmla="*/ 237 h 2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85" h="237">
              <a:moveTo>
                <a:pt x="10" y="237"/>
              </a:moveTo>
              <a:lnTo>
                <a:pt x="63" y="220"/>
              </a:lnTo>
              <a:lnTo>
                <a:pt x="68" y="212"/>
              </a:lnTo>
              <a:lnTo>
                <a:pt x="71" y="207"/>
              </a:lnTo>
              <a:lnTo>
                <a:pt x="72" y="207"/>
              </a:lnTo>
              <a:lnTo>
                <a:pt x="75" y="201"/>
              </a:lnTo>
              <a:lnTo>
                <a:pt x="79" y="197"/>
              </a:lnTo>
              <a:lnTo>
                <a:pt x="81" y="197"/>
              </a:lnTo>
              <a:lnTo>
                <a:pt x="83" y="197"/>
              </a:lnTo>
              <a:lnTo>
                <a:pt x="83" y="192"/>
              </a:lnTo>
              <a:lnTo>
                <a:pt x="85" y="181"/>
              </a:lnTo>
              <a:lnTo>
                <a:pt x="83" y="179"/>
              </a:lnTo>
              <a:lnTo>
                <a:pt x="81" y="179"/>
              </a:lnTo>
              <a:lnTo>
                <a:pt x="77" y="172"/>
              </a:lnTo>
              <a:lnTo>
                <a:pt x="77" y="167"/>
              </a:lnTo>
              <a:lnTo>
                <a:pt x="72" y="164"/>
              </a:lnTo>
              <a:lnTo>
                <a:pt x="68" y="160"/>
              </a:lnTo>
              <a:lnTo>
                <a:pt x="66" y="155"/>
              </a:lnTo>
              <a:lnTo>
                <a:pt x="65" y="149"/>
              </a:lnTo>
              <a:lnTo>
                <a:pt x="65" y="143"/>
              </a:lnTo>
              <a:lnTo>
                <a:pt x="60" y="127"/>
              </a:lnTo>
              <a:lnTo>
                <a:pt x="30" y="3"/>
              </a:lnTo>
              <a:lnTo>
                <a:pt x="29" y="0"/>
              </a:lnTo>
              <a:lnTo>
                <a:pt x="25" y="5"/>
              </a:lnTo>
              <a:lnTo>
                <a:pt x="21" y="4"/>
              </a:lnTo>
              <a:lnTo>
                <a:pt x="17" y="8"/>
              </a:lnTo>
              <a:lnTo>
                <a:pt x="17" y="13"/>
              </a:lnTo>
              <a:lnTo>
                <a:pt x="15" y="24"/>
              </a:lnTo>
              <a:lnTo>
                <a:pt x="16" y="29"/>
              </a:lnTo>
              <a:lnTo>
                <a:pt x="15" y="31"/>
              </a:lnTo>
              <a:lnTo>
                <a:pt x="14" y="33"/>
              </a:lnTo>
              <a:lnTo>
                <a:pt x="17" y="41"/>
              </a:lnTo>
              <a:lnTo>
                <a:pt x="15" y="52"/>
              </a:lnTo>
              <a:lnTo>
                <a:pt x="15" y="57"/>
              </a:lnTo>
              <a:lnTo>
                <a:pt x="19" y="63"/>
              </a:lnTo>
              <a:lnTo>
                <a:pt x="20" y="68"/>
              </a:lnTo>
              <a:lnTo>
                <a:pt x="20" y="73"/>
              </a:lnTo>
              <a:lnTo>
                <a:pt x="17" y="81"/>
              </a:lnTo>
              <a:lnTo>
                <a:pt x="9" y="92"/>
              </a:lnTo>
              <a:lnTo>
                <a:pt x="8" y="93"/>
              </a:lnTo>
              <a:lnTo>
                <a:pt x="4" y="99"/>
              </a:lnTo>
              <a:lnTo>
                <a:pt x="4" y="104"/>
              </a:lnTo>
              <a:lnTo>
                <a:pt x="7" y="116"/>
              </a:lnTo>
              <a:lnTo>
                <a:pt x="5" y="125"/>
              </a:lnTo>
              <a:lnTo>
                <a:pt x="6" y="131"/>
              </a:lnTo>
              <a:lnTo>
                <a:pt x="4" y="136"/>
              </a:lnTo>
              <a:lnTo>
                <a:pt x="5" y="141"/>
              </a:lnTo>
              <a:lnTo>
                <a:pt x="3" y="147"/>
              </a:lnTo>
              <a:lnTo>
                <a:pt x="1" y="153"/>
              </a:lnTo>
              <a:lnTo>
                <a:pt x="2" y="161"/>
              </a:lnTo>
              <a:lnTo>
                <a:pt x="0" y="167"/>
              </a:lnTo>
              <a:lnTo>
                <a:pt x="3" y="187"/>
              </a:lnTo>
              <a:lnTo>
                <a:pt x="3" y="197"/>
              </a:lnTo>
              <a:lnTo>
                <a:pt x="6" y="213"/>
              </a:lnTo>
              <a:lnTo>
                <a:pt x="4" y="219"/>
              </a:lnTo>
              <a:lnTo>
                <a:pt x="4" y="225"/>
              </a:lnTo>
              <a:lnTo>
                <a:pt x="6" y="232"/>
              </a:lnTo>
              <a:lnTo>
                <a:pt x="10" y="237"/>
              </a:lnTo>
              <a:lnTo>
                <a:pt x="10" y="237"/>
              </a:lnTo>
              <a:lnTo>
                <a:pt x="10" y="237"/>
              </a:lnTo>
              <a:close/>
            </a:path>
          </a:pathLst>
        </a:custGeom>
        <a:solidFill>
          <a:srgbClr val="FEF0D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6DED6FBF-472A-49F6-BCB5-A069065A43F9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NH
2034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82225</xdr:colOff>
      <xdr:row>7</xdr:row>
      <xdr:rowOff>8075</xdr:rowOff>
    </xdr:from>
    <xdr:to>
      <xdr:col>11</xdr:col>
      <xdr:colOff>490509</xdr:colOff>
      <xdr:row>11</xdr:row>
      <xdr:rowOff>23836</xdr:rowOff>
    </xdr:to>
    <xdr:sp macro="" textlink="data!E32">
      <xdr:nvSpPr>
        <xdr:cNvPr id="238" name="ME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>
          <a:spLocks/>
        </xdr:cNvSpPr>
      </xdr:nvSpPr>
      <xdr:spPr bwMode="auto">
        <a:xfrm>
          <a:off x="7397425" y="1141550"/>
          <a:ext cx="408284" cy="663461"/>
        </a:xfrm>
        <a:custGeom>
          <a:avLst/>
          <a:gdLst>
            <a:gd name="T0" fmla="*/ 31 w 188"/>
            <a:gd name="T1" fmla="*/ 344 h 396"/>
            <a:gd name="T2" fmla="*/ 37 w 188"/>
            <a:gd name="T3" fmla="*/ 372 h 396"/>
            <a:gd name="T4" fmla="*/ 48 w 188"/>
            <a:gd name="T5" fmla="*/ 384 h 396"/>
            <a:gd name="T6" fmla="*/ 54 w 188"/>
            <a:gd name="T7" fmla="*/ 396 h 396"/>
            <a:gd name="T8" fmla="*/ 58 w 188"/>
            <a:gd name="T9" fmla="*/ 380 h 396"/>
            <a:gd name="T10" fmla="*/ 65 w 188"/>
            <a:gd name="T11" fmla="*/ 358 h 396"/>
            <a:gd name="T12" fmla="*/ 66 w 188"/>
            <a:gd name="T13" fmla="*/ 340 h 396"/>
            <a:gd name="T14" fmla="*/ 73 w 188"/>
            <a:gd name="T15" fmla="*/ 317 h 396"/>
            <a:gd name="T16" fmla="*/ 76 w 188"/>
            <a:gd name="T17" fmla="*/ 328 h 396"/>
            <a:gd name="T18" fmla="*/ 80 w 188"/>
            <a:gd name="T19" fmla="*/ 317 h 396"/>
            <a:gd name="T20" fmla="*/ 79 w 188"/>
            <a:gd name="T21" fmla="*/ 305 h 396"/>
            <a:gd name="T22" fmla="*/ 80 w 188"/>
            <a:gd name="T23" fmla="*/ 297 h 396"/>
            <a:gd name="T24" fmla="*/ 87 w 188"/>
            <a:gd name="T25" fmla="*/ 316 h 396"/>
            <a:gd name="T26" fmla="*/ 87 w 188"/>
            <a:gd name="T27" fmla="*/ 301 h 396"/>
            <a:gd name="T28" fmla="*/ 92 w 188"/>
            <a:gd name="T29" fmla="*/ 314 h 396"/>
            <a:gd name="T30" fmla="*/ 92 w 188"/>
            <a:gd name="T31" fmla="*/ 297 h 396"/>
            <a:gd name="T32" fmla="*/ 96 w 188"/>
            <a:gd name="T33" fmla="*/ 312 h 396"/>
            <a:gd name="T34" fmla="*/ 98 w 188"/>
            <a:gd name="T35" fmla="*/ 294 h 396"/>
            <a:gd name="T36" fmla="*/ 108 w 188"/>
            <a:gd name="T37" fmla="*/ 292 h 396"/>
            <a:gd name="T38" fmla="*/ 110 w 188"/>
            <a:gd name="T39" fmla="*/ 274 h 396"/>
            <a:gd name="T40" fmla="*/ 111 w 188"/>
            <a:gd name="T41" fmla="*/ 257 h 396"/>
            <a:gd name="T42" fmla="*/ 113 w 188"/>
            <a:gd name="T43" fmla="*/ 238 h 396"/>
            <a:gd name="T44" fmla="*/ 120 w 188"/>
            <a:gd name="T45" fmla="*/ 248 h 396"/>
            <a:gd name="T46" fmla="*/ 126 w 188"/>
            <a:gd name="T47" fmla="*/ 257 h 396"/>
            <a:gd name="T48" fmla="*/ 129 w 188"/>
            <a:gd name="T49" fmla="*/ 249 h 396"/>
            <a:gd name="T50" fmla="*/ 133 w 188"/>
            <a:gd name="T51" fmla="*/ 244 h 396"/>
            <a:gd name="T52" fmla="*/ 147 w 188"/>
            <a:gd name="T53" fmla="*/ 237 h 396"/>
            <a:gd name="T54" fmla="*/ 150 w 188"/>
            <a:gd name="T55" fmla="*/ 233 h 396"/>
            <a:gd name="T56" fmla="*/ 154 w 188"/>
            <a:gd name="T57" fmla="*/ 229 h 396"/>
            <a:gd name="T58" fmla="*/ 155 w 188"/>
            <a:gd name="T59" fmla="*/ 224 h 396"/>
            <a:gd name="T60" fmla="*/ 163 w 188"/>
            <a:gd name="T61" fmla="*/ 224 h 396"/>
            <a:gd name="T62" fmla="*/ 168 w 188"/>
            <a:gd name="T63" fmla="*/ 213 h 396"/>
            <a:gd name="T64" fmla="*/ 172 w 188"/>
            <a:gd name="T65" fmla="*/ 206 h 396"/>
            <a:gd name="T66" fmla="*/ 179 w 188"/>
            <a:gd name="T67" fmla="*/ 204 h 396"/>
            <a:gd name="T68" fmla="*/ 188 w 188"/>
            <a:gd name="T69" fmla="*/ 184 h 396"/>
            <a:gd name="T70" fmla="*/ 182 w 188"/>
            <a:gd name="T71" fmla="*/ 187 h 396"/>
            <a:gd name="T72" fmla="*/ 175 w 188"/>
            <a:gd name="T73" fmla="*/ 163 h 396"/>
            <a:gd name="T74" fmla="*/ 172 w 188"/>
            <a:gd name="T75" fmla="*/ 160 h 396"/>
            <a:gd name="T76" fmla="*/ 161 w 188"/>
            <a:gd name="T77" fmla="*/ 160 h 396"/>
            <a:gd name="T78" fmla="*/ 155 w 188"/>
            <a:gd name="T79" fmla="*/ 143 h 396"/>
            <a:gd name="T80" fmla="*/ 153 w 188"/>
            <a:gd name="T81" fmla="*/ 129 h 396"/>
            <a:gd name="T82" fmla="*/ 140 w 188"/>
            <a:gd name="T83" fmla="*/ 128 h 396"/>
            <a:gd name="T84" fmla="*/ 135 w 188"/>
            <a:gd name="T85" fmla="*/ 117 h 396"/>
            <a:gd name="T86" fmla="*/ 127 w 188"/>
            <a:gd name="T87" fmla="*/ 89 h 396"/>
            <a:gd name="T88" fmla="*/ 98 w 188"/>
            <a:gd name="T89" fmla="*/ 7 h 396"/>
            <a:gd name="T90" fmla="*/ 80 w 188"/>
            <a:gd name="T91" fmla="*/ 3 h 396"/>
            <a:gd name="T92" fmla="*/ 69 w 188"/>
            <a:gd name="T93" fmla="*/ 17 h 396"/>
            <a:gd name="T94" fmla="*/ 56 w 188"/>
            <a:gd name="T95" fmla="*/ 24 h 396"/>
            <a:gd name="T96" fmla="*/ 45 w 188"/>
            <a:gd name="T97" fmla="*/ 7 h 396"/>
            <a:gd name="T98" fmla="*/ 25 w 188"/>
            <a:gd name="T99" fmla="*/ 107 h 396"/>
            <a:gd name="T100" fmla="*/ 22 w 188"/>
            <a:gd name="T101" fmla="*/ 136 h 396"/>
            <a:gd name="T102" fmla="*/ 21 w 188"/>
            <a:gd name="T103" fmla="*/ 164 h 396"/>
            <a:gd name="T104" fmla="*/ 13 w 188"/>
            <a:gd name="T105" fmla="*/ 185 h 396"/>
            <a:gd name="T106" fmla="*/ 16 w 188"/>
            <a:gd name="T107" fmla="*/ 202 h 396"/>
            <a:gd name="T108" fmla="*/ 10 w 188"/>
            <a:gd name="T109" fmla="*/ 206 h 396"/>
            <a:gd name="T110" fmla="*/ 3 w 188"/>
            <a:gd name="T111" fmla="*/ 212 h 396"/>
            <a:gd name="T112" fmla="*/ 0 w 188"/>
            <a:gd name="T113" fmla="*/ 217 h 39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188" h="396">
              <a:moveTo>
                <a:pt x="0" y="217"/>
              </a:moveTo>
              <a:lnTo>
                <a:pt x="1" y="220"/>
              </a:lnTo>
              <a:lnTo>
                <a:pt x="31" y="344"/>
              </a:lnTo>
              <a:lnTo>
                <a:pt x="36" y="360"/>
              </a:lnTo>
              <a:lnTo>
                <a:pt x="36" y="366"/>
              </a:lnTo>
              <a:lnTo>
                <a:pt x="37" y="372"/>
              </a:lnTo>
              <a:lnTo>
                <a:pt x="39" y="377"/>
              </a:lnTo>
              <a:lnTo>
                <a:pt x="43" y="381"/>
              </a:lnTo>
              <a:lnTo>
                <a:pt x="48" y="384"/>
              </a:lnTo>
              <a:lnTo>
                <a:pt x="48" y="389"/>
              </a:lnTo>
              <a:lnTo>
                <a:pt x="52" y="396"/>
              </a:lnTo>
              <a:lnTo>
                <a:pt x="54" y="396"/>
              </a:lnTo>
              <a:lnTo>
                <a:pt x="58" y="390"/>
              </a:lnTo>
              <a:lnTo>
                <a:pt x="59" y="385"/>
              </a:lnTo>
              <a:lnTo>
                <a:pt x="58" y="380"/>
              </a:lnTo>
              <a:lnTo>
                <a:pt x="58" y="374"/>
              </a:lnTo>
              <a:lnTo>
                <a:pt x="62" y="369"/>
              </a:lnTo>
              <a:lnTo>
                <a:pt x="65" y="358"/>
              </a:lnTo>
              <a:lnTo>
                <a:pt x="63" y="353"/>
              </a:lnTo>
              <a:lnTo>
                <a:pt x="69" y="342"/>
              </a:lnTo>
              <a:lnTo>
                <a:pt x="66" y="340"/>
              </a:lnTo>
              <a:lnTo>
                <a:pt x="66" y="336"/>
              </a:lnTo>
              <a:lnTo>
                <a:pt x="67" y="329"/>
              </a:lnTo>
              <a:lnTo>
                <a:pt x="73" y="317"/>
              </a:lnTo>
              <a:lnTo>
                <a:pt x="75" y="328"/>
              </a:lnTo>
              <a:lnTo>
                <a:pt x="76" y="322"/>
              </a:lnTo>
              <a:lnTo>
                <a:pt x="76" y="328"/>
              </a:lnTo>
              <a:lnTo>
                <a:pt x="78" y="322"/>
              </a:lnTo>
              <a:lnTo>
                <a:pt x="79" y="317"/>
              </a:lnTo>
              <a:lnTo>
                <a:pt x="80" y="317"/>
              </a:lnTo>
              <a:lnTo>
                <a:pt x="84" y="328"/>
              </a:lnTo>
              <a:lnTo>
                <a:pt x="85" y="322"/>
              </a:lnTo>
              <a:lnTo>
                <a:pt x="79" y="305"/>
              </a:lnTo>
              <a:lnTo>
                <a:pt x="78" y="308"/>
              </a:lnTo>
              <a:lnTo>
                <a:pt x="78" y="302"/>
              </a:lnTo>
              <a:lnTo>
                <a:pt x="80" y="297"/>
              </a:lnTo>
              <a:lnTo>
                <a:pt x="80" y="302"/>
              </a:lnTo>
              <a:lnTo>
                <a:pt x="86" y="321"/>
              </a:lnTo>
              <a:lnTo>
                <a:pt x="87" y="316"/>
              </a:lnTo>
              <a:lnTo>
                <a:pt x="84" y="309"/>
              </a:lnTo>
              <a:lnTo>
                <a:pt x="85" y="302"/>
              </a:lnTo>
              <a:lnTo>
                <a:pt x="87" y="301"/>
              </a:lnTo>
              <a:lnTo>
                <a:pt x="89" y="306"/>
              </a:lnTo>
              <a:lnTo>
                <a:pt x="88" y="312"/>
              </a:lnTo>
              <a:lnTo>
                <a:pt x="92" y="314"/>
              </a:lnTo>
              <a:lnTo>
                <a:pt x="90" y="304"/>
              </a:lnTo>
              <a:lnTo>
                <a:pt x="91" y="298"/>
              </a:lnTo>
              <a:lnTo>
                <a:pt x="92" y="297"/>
              </a:lnTo>
              <a:lnTo>
                <a:pt x="91" y="302"/>
              </a:lnTo>
              <a:lnTo>
                <a:pt x="92" y="308"/>
              </a:lnTo>
              <a:lnTo>
                <a:pt x="96" y="312"/>
              </a:lnTo>
              <a:lnTo>
                <a:pt x="96" y="306"/>
              </a:lnTo>
              <a:lnTo>
                <a:pt x="96" y="300"/>
              </a:lnTo>
              <a:lnTo>
                <a:pt x="98" y="294"/>
              </a:lnTo>
              <a:lnTo>
                <a:pt x="102" y="296"/>
              </a:lnTo>
              <a:lnTo>
                <a:pt x="106" y="297"/>
              </a:lnTo>
              <a:lnTo>
                <a:pt x="108" y="292"/>
              </a:lnTo>
              <a:lnTo>
                <a:pt x="111" y="285"/>
              </a:lnTo>
              <a:lnTo>
                <a:pt x="109" y="280"/>
              </a:lnTo>
              <a:lnTo>
                <a:pt x="110" y="274"/>
              </a:lnTo>
              <a:lnTo>
                <a:pt x="109" y="269"/>
              </a:lnTo>
              <a:lnTo>
                <a:pt x="111" y="264"/>
              </a:lnTo>
              <a:lnTo>
                <a:pt x="111" y="257"/>
              </a:lnTo>
              <a:lnTo>
                <a:pt x="109" y="252"/>
              </a:lnTo>
              <a:lnTo>
                <a:pt x="115" y="248"/>
              </a:lnTo>
              <a:lnTo>
                <a:pt x="113" y="238"/>
              </a:lnTo>
              <a:lnTo>
                <a:pt x="117" y="244"/>
              </a:lnTo>
              <a:lnTo>
                <a:pt x="116" y="249"/>
              </a:lnTo>
              <a:lnTo>
                <a:pt x="120" y="248"/>
              </a:lnTo>
              <a:lnTo>
                <a:pt x="119" y="254"/>
              </a:lnTo>
              <a:lnTo>
                <a:pt x="117" y="257"/>
              </a:lnTo>
              <a:lnTo>
                <a:pt x="126" y="257"/>
              </a:lnTo>
              <a:lnTo>
                <a:pt x="132" y="261"/>
              </a:lnTo>
              <a:lnTo>
                <a:pt x="129" y="254"/>
              </a:lnTo>
              <a:lnTo>
                <a:pt x="129" y="249"/>
              </a:lnTo>
              <a:lnTo>
                <a:pt x="130" y="244"/>
              </a:lnTo>
              <a:lnTo>
                <a:pt x="129" y="238"/>
              </a:lnTo>
              <a:lnTo>
                <a:pt x="133" y="244"/>
              </a:lnTo>
              <a:lnTo>
                <a:pt x="137" y="238"/>
              </a:lnTo>
              <a:lnTo>
                <a:pt x="136" y="233"/>
              </a:lnTo>
              <a:lnTo>
                <a:pt x="147" y="237"/>
              </a:lnTo>
              <a:lnTo>
                <a:pt x="150" y="244"/>
              </a:lnTo>
              <a:lnTo>
                <a:pt x="151" y="238"/>
              </a:lnTo>
              <a:lnTo>
                <a:pt x="150" y="233"/>
              </a:lnTo>
              <a:lnTo>
                <a:pt x="152" y="230"/>
              </a:lnTo>
              <a:lnTo>
                <a:pt x="154" y="236"/>
              </a:lnTo>
              <a:lnTo>
                <a:pt x="154" y="229"/>
              </a:lnTo>
              <a:lnTo>
                <a:pt x="155" y="236"/>
              </a:lnTo>
              <a:lnTo>
                <a:pt x="156" y="229"/>
              </a:lnTo>
              <a:lnTo>
                <a:pt x="155" y="224"/>
              </a:lnTo>
              <a:lnTo>
                <a:pt x="157" y="217"/>
              </a:lnTo>
              <a:lnTo>
                <a:pt x="161" y="224"/>
              </a:lnTo>
              <a:lnTo>
                <a:pt x="163" y="224"/>
              </a:lnTo>
              <a:lnTo>
                <a:pt x="164" y="218"/>
              </a:lnTo>
              <a:lnTo>
                <a:pt x="168" y="218"/>
              </a:lnTo>
              <a:lnTo>
                <a:pt x="168" y="213"/>
              </a:lnTo>
              <a:lnTo>
                <a:pt x="171" y="210"/>
              </a:lnTo>
              <a:lnTo>
                <a:pt x="172" y="210"/>
              </a:lnTo>
              <a:lnTo>
                <a:pt x="172" y="206"/>
              </a:lnTo>
              <a:lnTo>
                <a:pt x="176" y="208"/>
              </a:lnTo>
              <a:lnTo>
                <a:pt x="173" y="202"/>
              </a:lnTo>
              <a:lnTo>
                <a:pt x="179" y="204"/>
              </a:lnTo>
              <a:lnTo>
                <a:pt x="183" y="200"/>
              </a:lnTo>
              <a:lnTo>
                <a:pt x="188" y="189"/>
              </a:lnTo>
              <a:lnTo>
                <a:pt x="188" y="184"/>
              </a:lnTo>
              <a:lnTo>
                <a:pt x="184" y="179"/>
              </a:lnTo>
              <a:lnTo>
                <a:pt x="185" y="181"/>
              </a:lnTo>
              <a:lnTo>
                <a:pt x="182" y="187"/>
              </a:lnTo>
              <a:lnTo>
                <a:pt x="178" y="181"/>
              </a:lnTo>
              <a:lnTo>
                <a:pt x="183" y="173"/>
              </a:lnTo>
              <a:lnTo>
                <a:pt x="175" y="163"/>
              </a:lnTo>
              <a:lnTo>
                <a:pt x="175" y="161"/>
              </a:lnTo>
              <a:lnTo>
                <a:pt x="174" y="161"/>
              </a:lnTo>
              <a:lnTo>
                <a:pt x="172" y="160"/>
              </a:lnTo>
              <a:lnTo>
                <a:pt x="168" y="160"/>
              </a:lnTo>
              <a:lnTo>
                <a:pt x="165" y="165"/>
              </a:lnTo>
              <a:lnTo>
                <a:pt x="161" y="160"/>
              </a:lnTo>
              <a:lnTo>
                <a:pt x="159" y="155"/>
              </a:lnTo>
              <a:lnTo>
                <a:pt x="159" y="148"/>
              </a:lnTo>
              <a:lnTo>
                <a:pt x="155" y="143"/>
              </a:lnTo>
              <a:lnTo>
                <a:pt x="154" y="137"/>
              </a:lnTo>
              <a:lnTo>
                <a:pt x="155" y="132"/>
              </a:lnTo>
              <a:lnTo>
                <a:pt x="153" y="129"/>
              </a:lnTo>
              <a:lnTo>
                <a:pt x="149" y="131"/>
              </a:lnTo>
              <a:lnTo>
                <a:pt x="144" y="131"/>
              </a:lnTo>
              <a:lnTo>
                <a:pt x="140" y="128"/>
              </a:lnTo>
              <a:lnTo>
                <a:pt x="136" y="128"/>
              </a:lnTo>
              <a:lnTo>
                <a:pt x="135" y="123"/>
              </a:lnTo>
              <a:lnTo>
                <a:pt x="135" y="117"/>
              </a:lnTo>
              <a:lnTo>
                <a:pt x="133" y="112"/>
              </a:lnTo>
              <a:lnTo>
                <a:pt x="133" y="107"/>
              </a:lnTo>
              <a:lnTo>
                <a:pt x="127" y="89"/>
              </a:lnTo>
              <a:lnTo>
                <a:pt x="109" y="16"/>
              </a:lnTo>
              <a:lnTo>
                <a:pt x="106" y="15"/>
              </a:lnTo>
              <a:lnTo>
                <a:pt x="98" y="7"/>
              </a:lnTo>
              <a:lnTo>
                <a:pt x="89" y="3"/>
              </a:lnTo>
              <a:lnTo>
                <a:pt x="85" y="0"/>
              </a:lnTo>
              <a:lnTo>
                <a:pt x="80" y="3"/>
              </a:lnTo>
              <a:lnTo>
                <a:pt x="77" y="9"/>
              </a:lnTo>
              <a:lnTo>
                <a:pt x="73" y="12"/>
              </a:lnTo>
              <a:lnTo>
                <a:pt x="69" y="17"/>
              </a:lnTo>
              <a:lnTo>
                <a:pt x="65" y="20"/>
              </a:lnTo>
              <a:lnTo>
                <a:pt x="61" y="25"/>
              </a:lnTo>
              <a:lnTo>
                <a:pt x="56" y="24"/>
              </a:lnTo>
              <a:lnTo>
                <a:pt x="52" y="19"/>
              </a:lnTo>
              <a:lnTo>
                <a:pt x="49" y="8"/>
              </a:lnTo>
              <a:lnTo>
                <a:pt x="45" y="7"/>
              </a:lnTo>
              <a:lnTo>
                <a:pt x="41" y="8"/>
              </a:lnTo>
              <a:lnTo>
                <a:pt x="22" y="84"/>
              </a:lnTo>
              <a:lnTo>
                <a:pt x="25" y="107"/>
              </a:lnTo>
              <a:lnTo>
                <a:pt x="21" y="115"/>
              </a:lnTo>
              <a:lnTo>
                <a:pt x="19" y="131"/>
              </a:lnTo>
              <a:lnTo>
                <a:pt x="22" y="136"/>
              </a:lnTo>
              <a:lnTo>
                <a:pt x="22" y="147"/>
              </a:lnTo>
              <a:lnTo>
                <a:pt x="25" y="152"/>
              </a:lnTo>
              <a:lnTo>
                <a:pt x="21" y="164"/>
              </a:lnTo>
              <a:lnTo>
                <a:pt x="23" y="168"/>
              </a:lnTo>
              <a:lnTo>
                <a:pt x="16" y="180"/>
              </a:lnTo>
              <a:lnTo>
                <a:pt x="13" y="185"/>
              </a:lnTo>
              <a:lnTo>
                <a:pt x="13" y="190"/>
              </a:lnTo>
              <a:lnTo>
                <a:pt x="12" y="192"/>
              </a:lnTo>
              <a:lnTo>
                <a:pt x="16" y="202"/>
              </a:lnTo>
              <a:lnTo>
                <a:pt x="12" y="201"/>
              </a:lnTo>
              <a:lnTo>
                <a:pt x="11" y="201"/>
              </a:lnTo>
              <a:lnTo>
                <a:pt x="10" y="206"/>
              </a:lnTo>
              <a:lnTo>
                <a:pt x="11" y="212"/>
              </a:lnTo>
              <a:lnTo>
                <a:pt x="7" y="214"/>
              </a:lnTo>
              <a:lnTo>
                <a:pt x="3" y="212"/>
              </a:lnTo>
              <a:lnTo>
                <a:pt x="0" y="217"/>
              </a:lnTo>
              <a:lnTo>
                <a:pt x="0" y="217"/>
              </a:lnTo>
              <a:lnTo>
                <a:pt x="0" y="217"/>
              </a:lnTo>
              <a:close/>
            </a:path>
          </a:pathLst>
        </a:custGeom>
        <a:solidFill>
          <a:srgbClr val="FEF0D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4EF9C7CC-351F-4E65-84A6-1EA3FDC7AFDC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ME
1110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133260</xdr:colOff>
      <xdr:row>12</xdr:row>
      <xdr:rowOff>32030</xdr:rowOff>
    </xdr:from>
    <xdr:to>
      <xdr:col>11</xdr:col>
      <xdr:colOff>197054</xdr:colOff>
      <xdr:row>12</xdr:row>
      <xdr:rowOff>134101</xdr:rowOff>
    </xdr:to>
    <xdr:sp macro="" textlink="data!E51">
      <xdr:nvSpPr>
        <xdr:cNvPr id="239" name="RI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SpPr>
          <a:spLocks/>
        </xdr:cNvSpPr>
      </xdr:nvSpPr>
      <xdr:spPr bwMode="auto">
        <a:xfrm>
          <a:off x="7448460" y="1975130"/>
          <a:ext cx="63794" cy="102071"/>
        </a:xfrm>
        <a:custGeom>
          <a:avLst/>
          <a:gdLst>
            <a:gd name="T0" fmla="*/ 0 w 27"/>
            <a:gd name="T1" fmla="*/ 7 h 65"/>
            <a:gd name="T2" fmla="*/ 9 w 27"/>
            <a:gd name="T3" fmla="*/ 51 h 65"/>
            <a:gd name="T4" fmla="*/ 10 w 27"/>
            <a:gd name="T5" fmla="*/ 56 h 65"/>
            <a:gd name="T6" fmla="*/ 9 w 27"/>
            <a:gd name="T7" fmla="*/ 60 h 65"/>
            <a:gd name="T8" fmla="*/ 9 w 27"/>
            <a:gd name="T9" fmla="*/ 63 h 65"/>
            <a:gd name="T10" fmla="*/ 9 w 27"/>
            <a:gd name="T11" fmla="*/ 65 h 65"/>
            <a:gd name="T12" fmla="*/ 13 w 27"/>
            <a:gd name="T13" fmla="*/ 63 h 65"/>
            <a:gd name="T14" fmla="*/ 25 w 27"/>
            <a:gd name="T15" fmla="*/ 52 h 65"/>
            <a:gd name="T16" fmla="*/ 26 w 27"/>
            <a:gd name="T17" fmla="*/ 45 h 65"/>
            <a:gd name="T18" fmla="*/ 25 w 27"/>
            <a:gd name="T19" fmla="*/ 39 h 65"/>
            <a:gd name="T20" fmla="*/ 24 w 27"/>
            <a:gd name="T21" fmla="*/ 33 h 65"/>
            <a:gd name="T22" fmla="*/ 22 w 27"/>
            <a:gd name="T23" fmla="*/ 27 h 65"/>
            <a:gd name="T24" fmla="*/ 23 w 27"/>
            <a:gd name="T25" fmla="*/ 21 h 65"/>
            <a:gd name="T26" fmla="*/ 22 w 27"/>
            <a:gd name="T27" fmla="*/ 16 h 65"/>
            <a:gd name="T28" fmla="*/ 25 w 27"/>
            <a:gd name="T29" fmla="*/ 21 h 65"/>
            <a:gd name="T30" fmla="*/ 27 w 27"/>
            <a:gd name="T31" fmla="*/ 19 h 65"/>
            <a:gd name="T32" fmla="*/ 27 w 27"/>
            <a:gd name="T33" fmla="*/ 19 h 65"/>
            <a:gd name="T34" fmla="*/ 24 w 27"/>
            <a:gd name="T35" fmla="*/ 15 h 65"/>
            <a:gd name="T36" fmla="*/ 24 w 27"/>
            <a:gd name="T37" fmla="*/ 11 h 65"/>
            <a:gd name="T38" fmla="*/ 21 w 27"/>
            <a:gd name="T39" fmla="*/ 9 h 65"/>
            <a:gd name="T40" fmla="*/ 20 w 27"/>
            <a:gd name="T41" fmla="*/ 4 h 65"/>
            <a:gd name="T42" fmla="*/ 16 w 27"/>
            <a:gd name="T43" fmla="*/ 0 h 65"/>
            <a:gd name="T44" fmla="*/ 0 w 27"/>
            <a:gd name="T45" fmla="*/ 7 h 65"/>
            <a:gd name="T46" fmla="*/ 0 w 27"/>
            <a:gd name="T47" fmla="*/ 7 h 65"/>
            <a:gd name="T48" fmla="*/ 0 w 27"/>
            <a:gd name="T49" fmla="*/ 7 h 6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27" h="65">
              <a:moveTo>
                <a:pt x="0" y="7"/>
              </a:moveTo>
              <a:lnTo>
                <a:pt x="9" y="51"/>
              </a:lnTo>
              <a:lnTo>
                <a:pt x="10" y="56"/>
              </a:lnTo>
              <a:lnTo>
                <a:pt x="9" y="60"/>
              </a:lnTo>
              <a:lnTo>
                <a:pt x="9" y="63"/>
              </a:lnTo>
              <a:lnTo>
                <a:pt x="9" y="65"/>
              </a:lnTo>
              <a:lnTo>
                <a:pt x="13" y="63"/>
              </a:lnTo>
              <a:lnTo>
                <a:pt x="25" y="52"/>
              </a:lnTo>
              <a:lnTo>
                <a:pt x="26" y="45"/>
              </a:lnTo>
              <a:lnTo>
                <a:pt x="25" y="39"/>
              </a:lnTo>
              <a:lnTo>
                <a:pt x="24" y="33"/>
              </a:lnTo>
              <a:lnTo>
                <a:pt x="22" y="27"/>
              </a:lnTo>
              <a:lnTo>
                <a:pt x="23" y="21"/>
              </a:lnTo>
              <a:lnTo>
                <a:pt x="22" y="16"/>
              </a:lnTo>
              <a:lnTo>
                <a:pt x="25" y="21"/>
              </a:lnTo>
              <a:lnTo>
                <a:pt x="27" y="19"/>
              </a:lnTo>
              <a:lnTo>
                <a:pt x="27" y="19"/>
              </a:lnTo>
              <a:lnTo>
                <a:pt x="24" y="15"/>
              </a:lnTo>
              <a:lnTo>
                <a:pt x="24" y="11"/>
              </a:lnTo>
              <a:lnTo>
                <a:pt x="21" y="9"/>
              </a:lnTo>
              <a:lnTo>
                <a:pt x="20" y="4"/>
              </a:lnTo>
              <a:lnTo>
                <a:pt x="16" y="0"/>
              </a:lnTo>
              <a:lnTo>
                <a:pt x="0" y="7"/>
              </a:lnTo>
              <a:lnTo>
                <a:pt x="0" y="7"/>
              </a:lnTo>
              <a:lnTo>
                <a:pt x="0" y="7"/>
              </a:lnTo>
              <a:close/>
            </a:path>
          </a:pathLst>
        </a:custGeom>
        <a:solidFill>
          <a:srgbClr val="FC8D59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none" anchor="ctr"/>
        <a:lstStyle/>
        <a:p>
          <a:pPr algn="ctr"/>
          <a:fld id="{6369B501-9C56-4524-AE45-1EB3C8EE497E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RI
6460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531699</xdr:colOff>
      <xdr:row>24</xdr:row>
      <xdr:rowOff>143107</xdr:rowOff>
    </xdr:from>
    <xdr:to>
      <xdr:col>4</xdr:col>
      <xdr:colOff>470730</xdr:colOff>
      <xdr:row>27</xdr:row>
      <xdr:rowOff>137916</xdr:rowOff>
    </xdr:to>
    <xdr:sp macro="" textlink="data!E11">
      <xdr:nvSpPr>
        <xdr:cNvPr id="256" name="AK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SpPr>
          <a:spLocks/>
        </xdr:cNvSpPr>
      </xdr:nvSpPr>
      <xdr:spPr bwMode="auto">
        <a:xfrm>
          <a:off x="2970099" y="4029307"/>
          <a:ext cx="548631" cy="480584"/>
        </a:xfrm>
        <a:custGeom>
          <a:avLst/>
          <a:gdLst>
            <a:gd name="T0" fmla="*/ 21 w 187"/>
            <a:gd name="T1" fmla="*/ 22 h 154"/>
            <a:gd name="T2" fmla="*/ 36 w 187"/>
            <a:gd name="T3" fmla="*/ 1 h 154"/>
            <a:gd name="T4" fmla="*/ 59 w 187"/>
            <a:gd name="T5" fmla="*/ 1 h 154"/>
            <a:gd name="T6" fmla="*/ 70 w 187"/>
            <a:gd name="T7" fmla="*/ 4 h 154"/>
            <a:gd name="T8" fmla="*/ 88 w 187"/>
            <a:gd name="T9" fmla="*/ 3 h 154"/>
            <a:gd name="T10" fmla="*/ 119 w 187"/>
            <a:gd name="T11" fmla="*/ 88 h 154"/>
            <a:gd name="T12" fmla="*/ 128 w 187"/>
            <a:gd name="T13" fmla="*/ 93 h 154"/>
            <a:gd name="T14" fmla="*/ 146 w 187"/>
            <a:gd name="T15" fmla="*/ 91 h 154"/>
            <a:gd name="T16" fmla="*/ 160 w 187"/>
            <a:gd name="T17" fmla="*/ 110 h 154"/>
            <a:gd name="T18" fmla="*/ 169 w 187"/>
            <a:gd name="T19" fmla="*/ 117 h 154"/>
            <a:gd name="T20" fmla="*/ 182 w 187"/>
            <a:gd name="T21" fmla="*/ 113 h 154"/>
            <a:gd name="T22" fmla="*/ 186 w 187"/>
            <a:gd name="T23" fmla="*/ 127 h 154"/>
            <a:gd name="T24" fmla="*/ 158 w 187"/>
            <a:gd name="T25" fmla="*/ 119 h 154"/>
            <a:gd name="T26" fmla="*/ 140 w 187"/>
            <a:gd name="T27" fmla="*/ 102 h 154"/>
            <a:gd name="T28" fmla="*/ 111 w 187"/>
            <a:gd name="T29" fmla="*/ 96 h 154"/>
            <a:gd name="T30" fmla="*/ 93 w 187"/>
            <a:gd name="T31" fmla="*/ 91 h 154"/>
            <a:gd name="T32" fmla="*/ 87 w 187"/>
            <a:gd name="T33" fmla="*/ 102 h 154"/>
            <a:gd name="T34" fmla="*/ 69 w 187"/>
            <a:gd name="T35" fmla="*/ 107 h 154"/>
            <a:gd name="T36" fmla="*/ 72 w 187"/>
            <a:gd name="T37" fmla="*/ 96 h 154"/>
            <a:gd name="T38" fmla="*/ 75 w 187"/>
            <a:gd name="T39" fmla="*/ 89 h 154"/>
            <a:gd name="T40" fmla="*/ 64 w 187"/>
            <a:gd name="T41" fmla="*/ 113 h 154"/>
            <a:gd name="T42" fmla="*/ 34 w 187"/>
            <a:gd name="T43" fmla="*/ 145 h 154"/>
            <a:gd name="T44" fmla="*/ 1 w 187"/>
            <a:gd name="T45" fmla="*/ 154 h 154"/>
            <a:gd name="T46" fmla="*/ 11 w 187"/>
            <a:gd name="T47" fmla="*/ 149 h 154"/>
            <a:gd name="T48" fmla="*/ 42 w 187"/>
            <a:gd name="T49" fmla="*/ 124 h 154"/>
            <a:gd name="T50" fmla="*/ 39 w 187"/>
            <a:gd name="T51" fmla="*/ 111 h 154"/>
            <a:gd name="T52" fmla="*/ 28 w 187"/>
            <a:gd name="T53" fmla="*/ 113 h 154"/>
            <a:gd name="T54" fmla="*/ 20 w 187"/>
            <a:gd name="T55" fmla="*/ 110 h 154"/>
            <a:gd name="T56" fmla="*/ 19 w 187"/>
            <a:gd name="T57" fmla="*/ 103 h 154"/>
            <a:gd name="T58" fmla="*/ 4 w 187"/>
            <a:gd name="T59" fmla="*/ 97 h 154"/>
            <a:gd name="T60" fmla="*/ 3 w 187"/>
            <a:gd name="T61" fmla="*/ 85 h 154"/>
            <a:gd name="T62" fmla="*/ 14 w 187"/>
            <a:gd name="T63" fmla="*/ 72 h 154"/>
            <a:gd name="T64" fmla="*/ 24 w 187"/>
            <a:gd name="T65" fmla="*/ 69 h 154"/>
            <a:gd name="T66" fmla="*/ 28 w 187"/>
            <a:gd name="T67" fmla="*/ 61 h 154"/>
            <a:gd name="T68" fmla="*/ 19 w 187"/>
            <a:gd name="T69" fmla="*/ 63 h 154"/>
            <a:gd name="T70" fmla="*/ 5 w 187"/>
            <a:gd name="T71" fmla="*/ 50 h 154"/>
            <a:gd name="T72" fmla="*/ 10 w 187"/>
            <a:gd name="T73" fmla="*/ 39 h 154"/>
            <a:gd name="T74" fmla="*/ 18 w 187"/>
            <a:gd name="T75" fmla="*/ 47 h 154"/>
            <a:gd name="T76" fmla="*/ 23 w 187"/>
            <a:gd name="T77" fmla="*/ 45 h 154"/>
            <a:gd name="T78" fmla="*/ 29 w 187"/>
            <a:gd name="T79" fmla="*/ 35 h 154"/>
            <a:gd name="T80" fmla="*/ 11 w 187"/>
            <a:gd name="T81" fmla="*/ 24 h 15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</a:cxnLst>
          <a:rect l="0" t="0" r="r" b="b"/>
          <a:pathLst>
            <a:path w="187" h="154">
              <a:moveTo>
                <a:pt x="13" y="19"/>
              </a:moveTo>
              <a:lnTo>
                <a:pt x="21" y="22"/>
              </a:lnTo>
              <a:lnTo>
                <a:pt x="25" y="9"/>
              </a:lnTo>
              <a:lnTo>
                <a:pt x="36" y="1"/>
              </a:lnTo>
              <a:lnTo>
                <a:pt x="48" y="0"/>
              </a:lnTo>
              <a:lnTo>
                <a:pt x="59" y="1"/>
              </a:lnTo>
              <a:lnTo>
                <a:pt x="60" y="4"/>
              </a:lnTo>
              <a:lnTo>
                <a:pt x="70" y="4"/>
              </a:lnTo>
              <a:lnTo>
                <a:pt x="84" y="6"/>
              </a:lnTo>
              <a:lnTo>
                <a:pt x="88" y="3"/>
              </a:lnTo>
              <a:lnTo>
                <a:pt x="98" y="7"/>
              </a:lnTo>
              <a:lnTo>
                <a:pt x="119" y="88"/>
              </a:lnTo>
              <a:lnTo>
                <a:pt x="127" y="89"/>
              </a:lnTo>
              <a:lnTo>
                <a:pt x="128" y="93"/>
              </a:lnTo>
              <a:lnTo>
                <a:pt x="138" y="98"/>
              </a:lnTo>
              <a:lnTo>
                <a:pt x="146" y="91"/>
              </a:lnTo>
              <a:lnTo>
                <a:pt x="147" y="98"/>
              </a:lnTo>
              <a:lnTo>
                <a:pt x="160" y="110"/>
              </a:lnTo>
              <a:lnTo>
                <a:pt x="166" y="107"/>
              </a:lnTo>
              <a:lnTo>
                <a:pt x="169" y="117"/>
              </a:lnTo>
              <a:lnTo>
                <a:pt x="176" y="120"/>
              </a:lnTo>
              <a:lnTo>
                <a:pt x="182" y="113"/>
              </a:lnTo>
              <a:lnTo>
                <a:pt x="187" y="120"/>
              </a:lnTo>
              <a:lnTo>
                <a:pt x="186" y="127"/>
              </a:lnTo>
              <a:lnTo>
                <a:pt x="175" y="130"/>
              </a:lnTo>
              <a:lnTo>
                <a:pt x="158" y="119"/>
              </a:lnTo>
              <a:lnTo>
                <a:pt x="150" y="114"/>
              </a:lnTo>
              <a:lnTo>
                <a:pt x="140" y="102"/>
              </a:lnTo>
              <a:lnTo>
                <a:pt x="126" y="97"/>
              </a:lnTo>
              <a:lnTo>
                <a:pt x="111" y="96"/>
              </a:lnTo>
              <a:lnTo>
                <a:pt x="107" y="99"/>
              </a:lnTo>
              <a:lnTo>
                <a:pt x="93" y="91"/>
              </a:lnTo>
              <a:lnTo>
                <a:pt x="86" y="97"/>
              </a:lnTo>
              <a:lnTo>
                <a:pt x="87" y="102"/>
              </a:lnTo>
              <a:lnTo>
                <a:pt x="74" y="111"/>
              </a:lnTo>
              <a:lnTo>
                <a:pt x="69" y="107"/>
              </a:lnTo>
              <a:lnTo>
                <a:pt x="74" y="101"/>
              </a:lnTo>
              <a:lnTo>
                <a:pt x="72" y="96"/>
              </a:lnTo>
              <a:lnTo>
                <a:pt x="77" y="93"/>
              </a:lnTo>
              <a:lnTo>
                <a:pt x="75" y="89"/>
              </a:lnTo>
              <a:lnTo>
                <a:pt x="59" y="108"/>
              </a:lnTo>
              <a:lnTo>
                <a:pt x="64" y="113"/>
              </a:lnTo>
              <a:lnTo>
                <a:pt x="54" y="129"/>
              </a:lnTo>
              <a:lnTo>
                <a:pt x="34" y="145"/>
              </a:lnTo>
              <a:lnTo>
                <a:pt x="5" y="154"/>
              </a:lnTo>
              <a:lnTo>
                <a:pt x="1" y="154"/>
              </a:lnTo>
              <a:lnTo>
                <a:pt x="1" y="151"/>
              </a:lnTo>
              <a:lnTo>
                <a:pt x="11" y="149"/>
              </a:lnTo>
              <a:lnTo>
                <a:pt x="24" y="137"/>
              </a:lnTo>
              <a:lnTo>
                <a:pt x="42" y="124"/>
              </a:lnTo>
              <a:lnTo>
                <a:pt x="42" y="117"/>
              </a:lnTo>
              <a:lnTo>
                <a:pt x="39" y="111"/>
              </a:lnTo>
              <a:lnTo>
                <a:pt x="34" y="119"/>
              </a:lnTo>
              <a:lnTo>
                <a:pt x="28" y="113"/>
              </a:lnTo>
              <a:lnTo>
                <a:pt x="23" y="116"/>
              </a:lnTo>
              <a:lnTo>
                <a:pt x="20" y="110"/>
              </a:lnTo>
              <a:lnTo>
                <a:pt x="22" y="106"/>
              </a:lnTo>
              <a:lnTo>
                <a:pt x="19" y="103"/>
              </a:lnTo>
              <a:lnTo>
                <a:pt x="11" y="102"/>
              </a:lnTo>
              <a:lnTo>
                <a:pt x="4" y="97"/>
              </a:lnTo>
              <a:lnTo>
                <a:pt x="7" y="91"/>
              </a:lnTo>
              <a:lnTo>
                <a:pt x="3" y="85"/>
              </a:lnTo>
              <a:lnTo>
                <a:pt x="12" y="76"/>
              </a:lnTo>
              <a:lnTo>
                <a:pt x="14" y="72"/>
              </a:lnTo>
              <a:lnTo>
                <a:pt x="19" y="74"/>
              </a:lnTo>
              <a:lnTo>
                <a:pt x="24" y="69"/>
              </a:lnTo>
              <a:lnTo>
                <a:pt x="29" y="66"/>
              </a:lnTo>
              <a:lnTo>
                <a:pt x="28" y="61"/>
              </a:lnTo>
              <a:lnTo>
                <a:pt x="25" y="59"/>
              </a:lnTo>
              <a:lnTo>
                <a:pt x="19" y="63"/>
              </a:lnTo>
              <a:lnTo>
                <a:pt x="6" y="58"/>
              </a:lnTo>
              <a:lnTo>
                <a:pt x="5" y="50"/>
              </a:lnTo>
              <a:lnTo>
                <a:pt x="0" y="46"/>
              </a:lnTo>
              <a:lnTo>
                <a:pt x="10" y="39"/>
              </a:lnTo>
              <a:lnTo>
                <a:pt x="18" y="40"/>
              </a:lnTo>
              <a:lnTo>
                <a:pt x="18" y="47"/>
              </a:lnTo>
              <a:lnTo>
                <a:pt x="22" y="47"/>
              </a:lnTo>
              <a:lnTo>
                <a:pt x="23" y="45"/>
              </a:lnTo>
              <a:lnTo>
                <a:pt x="30" y="44"/>
              </a:lnTo>
              <a:lnTo>
                <a:pt x="29" y="35"/>
              </a:lnTo>
              <a:lnTo>
                <a:pt x="19" y="35"/>
              </a:lnTo>
              <a:lnTo>
                <a:pt x="11" y="24"/>
              </a:lnTo>
              <a:lnTo>
                <a:pt x="13" y="19"/>
              </a:lnTo>
              <a:close/>
            </a:path>
          </a:pathLst>
        </a:custGeom>
        <a:solidFill>
          <a:srgbClr val="FC8D59"/>
        </a:solidFill>
        <a:ln w="9525" cap="flat" cmpd="sng">
          <a:solidFill>
            <a:srgbClr val="FFFF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wrap="none" anchor="ctr"/>
        <a:lstStyle/>
        <a:p>
          <a:pPr algn="ctr"/>
          <a:fld id="{A32A72C3-6614-4C05-A0C1-1522E96DCE71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AK
5064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437763</xdr:colOff>
      <xdr:row>27</xdr:row>
      <xdr:rowOff>19633</xdr:rowOff>
    </xdr:from>
    <xdr:to>
      <xdr:col>8</xdr:col>
      <xdr:colOff>360620</xdr:colOff>
      <xdr:row>28</xdr:row>
      <xdr:rowOff>99390</xdr:rowOff>
    </xdr:to>
    <xdr:sp macro="" textlink="data!L83">
      <xdr:nvSpPr>
        <xdr:cNvPr id="265" name="PW" hidden="1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SpPr>
          <a:spLocks noChangeArrowheads="1"/>
        </xdr:cNvSpPr>
      </xdr:nvSpPr>
      <xdr:spPr bwMode="auto">
        <a:xfrm>
          <a:off x="5009763" y="4297719"/>
          <a:ext cx="576000" cy="237600"/>
        </a:xfrm>
        <a:prstGeom prst="ellipse">
          <a:avLst/>
        </a:prstGeom>
        <a:solidFill>
          <a:srgbClr val="FEF0D9"/>
        </a:solidFill>
        <a:ln w="9525">
          <a:noFill/>
          <a:round/>
          <a:headEnd/>
          <a:tailEnd/>
        </a:ln>
      </xdr:spPr>
      <xdr:txBody>
        <a:bodyPr anchor="ctr"/>
        <a:lstStyle/>
        <a:p>
          <a:pPr algn="ctr"/>
          <a:fld id="{7F668162-4524-4B5F-8243-8A9A0AE4644D}" type="TxLink">
            <a:rPr lang="en-US" altLang="en-US" sz="10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 </a:t>
          </a:fld>
          <a:endParaRPr lang="zh-CN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483441</xdr:colOff>
      <xdr:row>27</xdr:row>
      <xdr:rowOff>18855</xdr:rowOff>
    </xdr:from>
    <xdr:to>
      <xdr:col>9</xdr:col>
      <xdr:colOff>406298</xdr:colOff>
      <xdr:row>28</xdr:row>
      <xdr:rowOff>97970</xdr:rowOff>
    </xdr:to>
    <xdr:sp macro="" textlink="data!E58">
      <xdr:nvSpPr>
        <xdr:cNvPr id="266" name="VI" hidden="1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SpPr>
          <a:spLocks noChangeArrowheads="1"/>
        </xdr:cNvSpPr>
      </xdr:nvSpPr>
      <xdr:spPr bwMode="auto">
        <a:xfrm>
          <a:off x="5708584" y="4296941"/>
          <a:ext cx="576000" cy="236958"/>
        </a:xfrm>
        <a:prstGeom prst="ellipse">
          <a:avLst/>
        </a:prstGeom>
        <a:solidFill>
          <a:srgbClr val="FEF0D9"/>
        </a:solidFill>
        <a:ln w="9525">
          <a:noFill/>
          <a:round/>
          <a:headEnd/>
          <a:tailEnd/>
        </a:ln>
      </xdr:spPr>
      <xdr:txBody>
        <a:bodyPr anchor="ctr"/>
        <a:lstStyle/>
        <a:p>
          <a:pPr algn="ctr"/>
          <a:fld id="{7124DC8A-1685-4229-B18C-BAB6E53382C1}" type="TxLink">
            <a:rPr lang="en-US" altLang="en-US" sz="10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VI
1656</a:t>
          </a:fld>
          <a:endParaRPr lang="zh-CN" altLang="en-US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352425</xdr:colOff>
      <xdr:row>25</xdr:row>
      <xdr:rowOff>95250</xdr:rowOff>
    </xdr:from>
    <xdr:to>
      <xdr:col>5</xdr:col>
      <xdr:colOff>368001</xdr:colOff>
      <xdr:row>27</xdr:row>
      <xdr:rowOff>145665</xdr:rowOff>
    </xdr:to>
    <xdr:sp macro="" textlink="data!E22">
      <xdr:nvSpPr>
        <xdr:cNvPr id="267" name="HI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SpPr>
          <a:spLocks/>
        </xdr:cNvSpPr>
      </xdr:nvSpPr>
      <xdr:spPr bwMode="auto">
        <a:xfrm>
          <a:off x="3400425" y="4143375"/>
          <a:ext cx="625176" cy="374265"/>
        </a:xfrm>
        <a:custGeom>
          <a:avLst/>
          <a:gdLst>
            <a:gd name="connsiteX0" fmla="*/ 510012 w 625176"/>
            <a:gd name="connsiteY0" fmla="*/ 241193 h 374265"/>
            <a:gd name="connsiteX1" fmla="*/ 559368 w 625176"/>
            <a:gd name="connsiteY1" fmla="*/ 249510 h 374265"/>
            <a:gd name="connsiteX2" fmla="*/ 600498 w 625176"/>
            <a:gd name="connsiteY2" fmla="*/ 257827 h 374265"/>
            <a:gd name="connsiteX3" fmla="*/ 625176 w 625176"/>
            <a:gd name="connsiteY3" fmla="*/ 299412 h 374265"/>
            <a:gd name="connsiteX4" fmla="*/ 625176 w 625176"/>
            <a:gd name="connsiteY4" fmla="*/ 324363 h 374265"/>
            <a:gd name="connsiteX5" fmla="*/ 592272 w 625176"/>
            <a:gd name="connsiteY5" fmla="*/ 374265 h 374265"/>
            <a:gd name="connsiteX6" fmla="*/ 542916 w 625176"/>
            <a:gd name="connsiteY6" fmla="*/ 365948 h 374265"/>
            <a:gd name="connsiteX7" fmla="*/ 534690 w 625176"/>
            <a:gd name="connsiteY7" fmla="*/ 340997 h 374265"/>
            <a:gd name="connsiteX8" fmla="*/ 510012 w 625176"/>
            <a:gd name="connsiteY8" fmla="*/ 340997 h 374265"/>
            <a:gd name="connsiteX9" fmla="*/ 477108 w 625176"/>
            <a:gd name="connsiteY9" fmla="*/ 307729 h 374265"/>
            <a:gd name="connsiteX10" fmla="*/ 477108 w 625176"/>
            <a:gd name="connsiteY10" fmla="*/ 291095 h 374265"/>
            <a:gd name="connsiteX11" fmla="*/ 378396 w 625176"/>
            <a:gd name="connsiteY11" fmla="*/ 174657 h 374265"/>
            <a:gd name="connsiteX12" fmla="*/ 403074 w 625176"/>
            <a:gd name="connsiteY12" fmla="*/ 199608 h 374265"/>
            <a:gd name="connsiteX13" fmla="*/ 386622 w 625176"/>
            <a:gd name="connsiteY13" fmla="*/ 199608 h 374265"/>
            <a:gd name="connsiteX14" fmla="*/ 460656 w 625176"/>
            <a:gd name="connsiteY14" fmla="*/ 149706 h 374265"/>
            <a:gd name="connsiteX15" fmla="*/ 493560 w 625176"/>
            <a:gd name="connsiteY15" fmla="*/ 149706 h 374265"/>
            <a:gd name="connsiteX16" fmla="*/ 501786 w 625176"/>
            <a:gd name="connsiteY16" fmla="*/ 166340 h 374265"/>
            <a:gd name="connsiteX17" fmla="*/ 493560 w 625176"/>
            <a:gd name="connsiteY17" fmla="*/ 191291 h 374265"/>
            <a:gd name="connsiteX18" fmla="*/ 477108 w 625176"/>
            <a:gd name="connsiteY18" fmla="*/ 199608 h 374265"/>
            <a:gd name="connsiteX19" fmla="*/ 419526 w 625176"/>
            <a:gd name="connsiteY19" fmla="*/ 199608 h 374265"/>
            <a:gd name="connsiteX20" fmla="*/ 427752 w 625176"/>
            <a:gd name="connsiteY20" fmla="*/ 166340 h 374265"/>
            <a:gd name="connsiteX21" fmla="*/ 370170 w 625176"/>
            <a:gd name="connsiteY21" fmla="*/ 116438 h 374265"/>
            <a:gd name="connsiteX22" fmla="*/ 386622 w 625176"/>
            <a:gd name="connsiteY22" fmla="*/ 116438 h 374265"/>
            <a:gd name="connsiteX23" fmla="*/ 411300 w 625176"/>
            <a:gd name="connsiteY23" fmla="*/ 124755 h 374265"/>
            <a:gd name="connsiteX24" fmla="*/ 411300 w 625176"/>
            <a:gd name="connsiteY24" fmla="*/ 141389 h 374265"/>
            <a:gd name="connsiteX25" fmla="*/ 386622 w 625176"/>
            <a:gd name="connsiteY25" fmla="*/ 141389 h 374265"/>
            <a:gd name="connsiteX26" fmla="*/ 370170 w 625176"/>
            <a:gd name="connsiteY26" fmla="*/ 133072 h 374265"/>
            <a:gd name="connsiteX27" fmla="*/ 189198 w 625176"/>
            <a:gd name="connsiteY27" fmla="*/ 66536 h 374265"/>
            <a:gd name="connsiteX28" fmla="*/ 246780 w 625176"/>
            <a:gd name="connsiteY28" fmla="*/ 66536 h 374265"/>
            <a:gd name="connsiteX29" fmla="*/ 246780 w 625176"/>
            <a:gd name="connsiteY29" fmla="*/ 83170 h 374265"/>
            <a:gd name="connsiteX30" fmla="*/ 263232 w 625176"/>
            <a:gd name="connsiteY30" fmla="*/ 83170 h 374265"/>
            <a:gd name="connsiteX31" fmla="*/ 263232 w 625176"/>
            <a:gd name="connsiteY31" fmla="*/ 116438 h 374265"/>
            <a:gd name="connsiteX32" fmla="*/ 238554 w 625176"/>
            <a:gd name="connsiteY32" fmla="*/ 116438 h 374265"/>
            <a:gd name="connsiteX33" fmla="*/ 189198 w 625176"/>
            <a:gd name="connsiteY33" fmla="*/ 108121 h 374265"/>
            <a:gd name="connsiteX34" fmla="*/ 0 w 625176"/>
            <a:gd name="connsiteY34" fmla="*/ 24951 h 374265"/>
            <a:gd name="connsiteX35" fmla="*/ 24678 w 625176"/>
            <a:gd name="connsiteY35" fmla="*/ 24951 h 374265"/>
            <a:gd name="connsiteX36" fmla="*/ 24678 w 625176"/>
            <a:gd name="connsiteY36" fmla="*/ 49902 h 374265"/>
            <a:gd name="connsiteX37" fmla="*/ 0 w 625176"/>
            <a:gd name="connsiteY37" fmla="*/ 49902 h 374265"/>
            <a:gd name="connsiteX38" fmla="*/ 57582 w 625176"/>
            <a:gd name="connsiteY38" fmla="*/ 0 h 374265"/>
            <a:gd name="connsiteX39" fmla="*/ 106938 w 625176"/>
            <a:gd name="connsiteY39" fmla="*/ 0 h 374265"/>
            <a:gd name="connsiteX40" fmla="*/ 98712 w 625176"/>
            <a:gd name="connsiteY40" fmla="*/ 41585 h 374265"/>
            <a:gd name="connsiteX41" fmla="*/ 57582 w 625176"/>
            <a:gd name="connsiteY41" fmla="*/ 41585 h 374265"/>
            <a:gd name="connsiteX42" fmla="*/ 49356 w 625176"/>
            <a:gd name="connsiteY42" fmla="*/ 24951 h 3742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</a:cxnLst>
          <a:rect l="l" t="t" r="r" b="b"/>
          <a:pathLst>
            <a:path w="625176" h="374265">
              <a:moveTo>
                <a:pt x="510012" y="241193"/>
              </a:moveTo>
              <a:lnTo>
                <a:pt x="559368" y="249510"/>
              </a:lnTo>
              <a:lnTo>
                <a:pt x="600498" y="257827"/>
              </a:lnTo>
              <a:lnTo>
                <a:pt x="625176" y="299412"/>
              </a:lnTo>
              <a:lnTo>
                <a:pt x="625176" y="324363"/>
              </a:lnTo>
              <a:lnTo>
                <a:pt x="592272" y="374265"/>
              </a:lnTo>
              <a:lnTo>
                <a:pt x="542916" y="365948"/>
              </a:lnTo>
              <a:lnTo>
                <a:pt x="534690" y="340997"/>
              </a:lnTo>
              <a:lnTo>
                <a:pt x="510012" y="340997"/>
              </a:lnTo>
              <a:lnTo>
                <a:pt x="477108" y="307729"/>
              </a:lnTo>
              <a:lnTo>
                <a:pt x="477108" y="291095"/>
              </a:lnTo>
              <a:close/>
              <a:moveTo>
                <a:pt x="378396" y="174657"/>
              </a:moveTo>
              <a:lnTo>
                <a:pt x="403074" y="199608"/>
              </a:lnTo>
              <a:lnTo>
                <a:pt x="386622" y="199608"/>
              </a:lnTo>
              <a:close/>
              <a:moveTo>
                <a:pt x="460656" y="149706"/>
              </a:moveTo>
              <a:lnTo>
                <a:pt x="493560" y="149706"/>
              </a:lnTo>
              <a:lnTo>
                <a:pt x="501786" y="166340"/>
              </a:lnTo>
              <a:lnTo>
                <a:pt x="493560" y="191291"/>
              </a:lnTo>
              <a:lnTo>
                <a:pt x="477108" y="199608"/>
              </a:lnTo>
              <a:lnTo>
                <a:pt x="419526" y="199608"/>
              </a:lnTo>
              <a:lnTo>
                <a:pt x="427752" y="166340"/>
              </a:lnTo>
              <a:close/>
              <a:moveTo>
                <a:pt x="370170" y="116438"/>
              </a:moveTo>
              <a:lnTo>
                <a:pt x="386622" y="116438"/>
              </a:lnTo>
              <a:lnTo>
                <a:pt x="411300" y="124755"/>
              </a:lnTo>
              <a:lnTo>
                <a:pt x="411300" y="141389"/>
              </a:lnTo>
              <a:lnTo>
                <a:pt x="386622" y="141389"/>
              </a:lnTo>
              <a:lnTo>
                <a:pt x="370170" y="133072"/>
              </a:lnTo>
              <a:close/>
              <a:moveTo>
                <a:pt x="189198" y="66536"/>
              </a:moveTo>
              <a:lnTo>
                <a:pt x="246780" y="66536"/>
              </a:lnTo>
              <a:lnTo>
                <a:pt x="246780" y="83170"/>
              </a:lnTo>
              <a:lnTo>
                <a:pt x="263232" y="83170"/>
              </a:lnTo>
              <a:lnTo>
                <a:pt x="263232" y="116438"/>
              </a:lnTo>
              <a:lnTo>
                <a:pt x="238554" y="116438"/>
              </a:lnTo>
              <a:lnTo>
                <a:pt x="189198" y="108121"/>
              </a:lnTo>
              <a:close/>
              <a:moveTo>
                <a:pt x="0" y="24951"/>
              </a:moveTo>
              <a:lnTo>
                <a:pt x="24678" y="24951"/>
              </a:lnTo>
              <a:lnTo>
                <a:pt x="24678" y="49902"/>
              </a:lnTo>
              <a:lnTo>
                <a:pt x="0" y="49902"/>
              </a:lnTo>
              <a:close/>
              <a:moveTo>
                <a:pt x="57582" y="0"/>
              </a:moveTo>
              <a:lnTo>
                <a:pt x="106938" y="0"/>
              </a:lnTo>
              <a:lnTo>
                <a:pt x="98712" y="41585"/>
              </a:lnTo>
              <a:lnTo>
                <a:pt x="57582" y="41585"/>
              </a:lnTo>
              <a:lnTo>
                <a:pt x="49356" y="24951"/>
              </a:lnTo>
              <a:close/>
            </a:path>
          </a:pathLst>
        </a:custGeom>
        <a:solidFill>
          <a:srgbClr val="FEF0D9"/>
        </a:solidFill>
        <a:ln w="9525" cap="flat" cmpd="sng">
          <a:solidFill>
            <a:srgbClr val="FFFF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wrap="square" anchor="ctr">
          <a:no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F490AC5F-99A3-4FD1-B778-D4C48B0C9E2F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HI
1300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641881</xdr:colOff>
      <xdr:row>9</xdr:row>
      <xdr:rowOff>100741</xdr:rowOff>
    </xdr:from>
    <xdr:to>
      <xdr:col>9</xdr:col>
      <xdr:colOff>233982</xdr:colOff>
      <xdr:row>14</xdr:row>
      <xdr:rowOff>56649</xdr:rowOff>
    </xdr:to>
    <xdr:sp macro="" textlink="data!E33">
      <xdr:nvSpPr>
        <xdr:cNvPr id="269" name="MI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>
          <a:spLocks/>
        </xdr:cNvSpPr>
      </xdr:nvSpPr>
      <xdr:spPr bwMode="auto">
        <a:xfrm>
          <a:off x="5213881" y="1519638"/>
          <a:ext cx="898387" cy="744183"/>
        </a:xfrm>
        <a:custGeom>
          <a:avLst/>
          <a:gdLst>
            <a:gd name="connsiteX0" fmla="*/ 562631 w 854844"/>
            <a:gd name="connsiteY0" fmla="*/ 160348 h 765533"/>
            <a:gd name="connsiteX1" fmla="*/ 571486 w 854844"/>
            <a:gd name="connsiteY1" fmla="*/ 165363 h 765533"/>
            <a:gd name="connsiteX2" fmla="*/ 580341 w 854844"/>
            <a:gd name="connsiteY2" fmla="*/ 167035 h 765533"/>
            <a:gd name="connsiteX3" fmla="*/ 589196 w 854844"/>
            <a:gd name="connsiteY3" fmla="*/ 173722 h 765533"/>
            <a:gd name="connsiteX4" fmla="*/ 598051 w 854844"/>
            <a:gd name="connsiteY4" fmla="*/ 173722 h 765533"/>
            <a:gd name="connsiteX5" fmla="*/ 606906 w 854844"/>
            <a:gd name="connsiteY5" fmla="*/ 172051 h 765533"/>
            <a:gd name="connsiteX6" fmla="*/ 613547 w 854844"/>
            <a:gd name="connsiteY6" fmla="*/ 177066 h 765533"/>
            <a:gd name="connsiteX7" fmla="*/ 622402 w 854844"/>
            <a:gd name="connsiteY7" fmla="*/ 180409 h 765533"/>
            <a:gd name="connsiteX8" fmla="*/ 629043 w 854844"/>
            <a:gd name="connsiteY8" fmla="*/ 190440 h 765533"/>
            <a:gd name="connsiteX9" fmla="*/ 637898 w 854844"/>
            <a:gd name="connsiteY9" fmla="*/ 192112 h 765533"/>
            <a:gd name="connsiteX10" fmla="*/ 646753 w 854844"/>
            <a:gd name="connsiteY10" fmla="*/ 192112 h 765533"/>
            <a:gd name="connsiteX11" fmla="*/ 655608 w 854844"/>
            <a:gd name="connsiteY11" fmla="*/ 197127 h 765533"/>
            <a:gd name="connsiteX12" fmla="*/ 675532 w 854844"/>
            <a:gd name="connsiteY12" fmla="*/ 203814 h 765533"/>
            <a:gd name="connsiteX13" fmla="*/ 684387 w 854844"/>
            <a:gd name="connsiteY13" fmla="*/ 207158 h 765533"/>
            <a:gd name="connsiteX14" fmla="*/ 693242 w 854844"/>
            <a:gd name="connsiteY14" fmla="*/ 207158 h 765533"/>
            <a:gd name="connsiteX15" fmla="*/ 704310 w 854844"/>
            <a:gd name="connsiteY15" fmla="*/ 212173 h 765533"/>
            <a:gd name="connsiteX16" fmla="*/ 706524 w 854844"/>
            <a:gd name="connsiteY16" fmla="*/ 220532 h 765533"/>
            <a:gd name="connsiteX17" fmla="*/ 713165 w 854844"/>
            <a:gd name="connsiteY17" fmla="*/ 230563 h 765533"/>
            <a:gd name="connsiteX18" fmla="*/ 719806 w 854844"/>
            <a:gd name="connsiteY18" fmla="*/ 233906 h 765533"/>
            <a:gd name="connsiteX19" fmla="*/ 719806 w 854844"/>
            <a:gd name="connsiteY19" fmla="*/ 243937 h 765533"/>
            <a:gd name="connsiteX20" fmla="*/ 710951 w 854844"/>
            <a:gd name="connsiteY20" fmla="*/ 245609 h 765533"/>
            <a:gd name="connsiteX21" fmla="*/ 706524 w 854844"/>
            <a:gd name="connsiteY21" fmla="*/ 257311 h 765533"/>
            <a:gd name="connsiteX22" fmla="*/ 710951 w 854844"/>
            <a:gd name="connsiteY22" fmla="*/ 265670 h 765533"/>
            <a:gd name="connsiteX23" fmla="*/ 722020 w 854844"/>
            <a:gd name="connsiteY23" fmla="*/ 272357 h 765533"/>
            <a:gd name="connsiteX24" fmla="*/ 726448 w 854844"/>
            <a:gd name="connsiteY24" fmla="*/ 280716 h 765533"/>
            <a:gd name="connsiteX25" fmla="*/ 730875 w 854844"/>
            <a:gd name="connsiteY25" fmla="*/ 299106 h 765533"/>
            <a:gd name="connsiteX26" fmla="*/ 728661 w 854844"/>
            <a:gd name="connsiteY26" fmla="*/ 317496 h 765533"/>
            <a:gd name="connsiteX27" fmla="*/ 733089 w 854844"/>
            <a:gd name="connsiteY27" fmla="*/ 347588 h 765533"/>
            <a:gd name="connsiteX28" fmla="*/ 724234 w 854844"/>
            <a:gd name="connsiteY28" fmla="*/ 357618 h 765533"/>
            <a:gd name="connsiteX29" fmla="*/ 715379 w 854844"/>
            <a:gd name="connsiteY29" fmla="*/ 360962 h 765533"/>
            <a:gd name="connsiteX30" fmla="*/ 713165 w 854844"/>
            <a:gd name="connsiteY30" fmla="*/ 370993 h 765533"/>
            <a:gd name="connsiteX31" fmla="*/ 710951 w 854844"/>
            <a:gd name="connsiteY31" fmla="*/ 387710 h 765533"/>
            <a:gd name="connsiteX32" fmla="*/ 702097 w 854844"/>
            <a:gd name="connsiteY32" fmla="*/ 404428 h 765533"/>
            <a:gd name="connsiteX33" fmla="*/ 693242 w 854844"/>
            <a:gd name="connsiteY33" fmla="*/ 406100 h 765533"/>
            <a:gd name="connsiteX34" fmla="*/ 684387 w 854844"/>
            <a:gd name="connsiteY34" fmla="*/ 412787 h 765533"/>
            <a:gd name="connsiteX35" fmla="*/ 682173 w 854844"/>
            <a:gd name="connsiteY35" fmla="*/ 431177 h 765533"/>
            <a:gd name="connsiteX36" fmla="*/ 682173 w 854844"/>
            <a:gd name="connsiteY36" fmla="*/ 444551 h 765533"/>
            <a:gd name="connsiteX37" fmla="*/ 693242 w 854844"/>
            <a:gd name="connsiteY37" fmla="*/ 454582 h 765533"/>
            <a:gd name="connsiteX38" fmla="*/ 704310 w 854844"/>
            <a:gd name="connsiteY38" fmla="*/ 457925 h 765533"/>
            <a:gd name="connsiteX39" fmla="*/ 713165 w 854844"/>
            <a:gd name="connsiteY39" fmla="*/ 459597 h 765533"/>
            <a:gd name="connsiteX40" fmla="*/ 719806 w 854844"/>
            <a:gd name="connsiteY40" fmla="*/ 451238 h 765533"/>
            <a:gd name="connsiteX41" fmla="*/ 724234 w 854844"/>
            <a:gd name="connsiteY41" fmla="*/ 441207 h 765533"/>
            <a:gd name="connsiteX42" fmla="*/ 733089 w 854844"/>
            <a:gd name="connsiteY42" fmla="*/ 434520 h 765533"/>
            <a:gd name="connsiteX43" fmla="*/ 737516 w 854844"/>
            <a:gd name="connsiteY43" fmla="*/ 419474 h 765533"/>
            <a:gd name="connsiteX44" fmla="*/ 735303 w 854844"/>
            <a:gd name="connsiteY44" fmla="*/ 411115 h 765533"/>
            <a:gd name="connsiteX45" fmla="*/ 744157 w 854844"/>
            <a:gd name="connsiteY45" fmla="*/ 406100 h 765533"/>
            <a:gd name="connsiteX46" fmla="*/ 753012 w 854844"/>
            <a:gd name="connsiteY46" fmla="*/ 397741 h 765533"/>
            <a:gd name="connsiteX47" fmla="*/ 761867 w 854844"/>
            <a:gd name="connsiteY47" fmla="*/ 392726 h 765533"/>
            <a:gd name="connsiteX48" fmla="*/ 777363 w 854844"/>
            <a:gd name="connsiteY48" fmla="*/ 384367 h 765533"/>
            <a:gd name="connsiteX49" fmla="*/ 786218 w 854844"/>
            <a:gd name="connsiteY49" fmla="*/ 384367 h 765533"/>
            <a:gd name="connsiteX50" fmla="*/ 795073 w 854844"/>
            <a:gd name="connsiteY50" fmla="*/ 387710 h 765533"/>
            <a:gd name="connsiteX51" fmla="*/ 803928 w 854844"/>
            <a:gd name="connsiteY51" fmla="*/ 397741 h 765533"/>
            <a:gd name="connsiteX52" fmla="*/ 814997 w 854844"/>
            <a:gd name="connsiteY52" fmla="*/ 414459 h 765533"/>
            <a:gd name="connsiteX53" fmla="*/ 823852 w 854844"/>
            <a:gd name="connsiteY53" fmla="*/ 452910 h 765533"/>
            <a:gd name="connsiteX54" fmla="*/ 830493 w 854844"/>
            <a:gd name="connsiteY54" fmla="*/ 461269 h 765533"/>
            <a:gd name="connsiteX55" fmla="*/ 834921 w 854844"/>
            <a:gd name="connsiteY55" fmla="*/ 479658 h 765533"/>
            <a:gd name="connsiteX56" fmla="*/ 841562 w 854844"/>
            <a:gd name="connsiteY56" fmla="*/ 499720 h 765533"/>
            <a:gd name="connsiteX57" fmla="*/ 845989 w 854844"/>
            <a:gd name="connsiteY57" fmla="*/ 511422 h 765533"/>
            <a:gd name="connsiteX58" fmla="*/ 854844 w 854844"/>
            <a:gd name="connsiteY58" fmla="*/ 524797 h 765533"/>
            <a:gd name="connsiteX59" fmla="*/ 854844 w 854844"/>
            <a:gd name="connsiteY59" fmla="*/ 533155 h 765533"/>
            <a:gd name="connsiteX60" fmla="*/ 852630 w 854844"/>
            <a:gd name="connsiteY60" fmla="*/ 534827 h 765533"/>
            <a:gd name="connsiteX61" fmla="*/ 850417 w 854844"/>
            <a:gd name="connsiteY61" fmla="*/ 554889 h 765533"/>
            <a:gd name="connsiteX62" fmla="*/ 854844 w 854844"/>
            <a:gd name="connsiteY62" fmla="*/ 561576 h 765533"/>
            <a:gd name="connsiteX63" fmla="*/ 852630 w 854844"/>
            <a:gd name="connsiteY63" fmla="*/ 581637 h 765533"/>
            <a:gd name="connsiteX64" fmla="*/ 845989 w 854844"/>
            <a:gd name="connsiteY64" fmla="*/ 591668 h 765533"/>
            <a:gd name="connsiteX65" fmla="*/ 841562 w 854844"/>
            <a:gd name="connsiteY65" fmla="*/ 593340 h 765533"/>
            <a:gd name="connsiteX66" fmla="*/ 841562 w 854844"/>
            <a:gd name="connsiteY66" fmla="*/ 591668 h 765533"/>
            <a:gd name="connsiteX67" fmla="*/ 839348 w 854844"/>
            <a:gd name="connsiteY67" fmla="*/ 581637 h 765533"/>
            <a:gd name="connsiteX68" fmla="*/ 834921 w 854844"/>
            <a:gd name="connsiteY68" fmla="*/ 574950 h 765533"/>
            <a:gd name="connsiteX69" fmla="*/ 826066 w 854844"/>
            <a:gd name="connsiteY69" fmla="*/ 581637 h 765533"/>
            <a:gd name="connsiteX70" fmla="*/ 823852 w 854844"/>
            <a:gd name="connsiteY70" fmla="*/ 588324 h 765533"/>
            <a:gd name="connsiteX71" fmla="*/ 817211 w 854844"/>
            <a:gd name="connsiteY71" fmla="*/ 598355 h 765533"/>
            <a:gd name="connsiteX72" fmla="*/ 819424 w 854844"/>
            <a:gd name="connsiteY72" fmla="*/ 618416 h 765533"/>
            <a:gd name="connsiteX73" fmla="*/ 810569 w 854844"/>
            <a:gd name="connsiteY73" fmla="*/ 626775 h 765533"/>
            <a:gd name="connsiteX74" fmla="*/ 801715 w 854844"/>
            <a:gd name="connsiteY74" fmla="*/ 635134 h 765533"/>
            <a:gd name="connsiteX75" fmla="*/ 799501 w 854844"/>
            <a:gd name="connsiteY75" fmla="*/ 638478 h 765533"/>
            <a:gd name="connsiteX76" fmla="*/ 797287 w 854844"/>
            <a:gd name="connsiteY76" fmla="*/ 641821 h 765533"/>
            <a:gd name="connsiteX77" fmla="*/ 795073 w 854844"/>
            <a:gd name="connsiteY77" fmla="*/ 651852 h 765533"/>
            <a:gd name="connsiteX78" fmla="*/ 792860 w 854844"/>
            <a:gd name="connsiteY78" fmla="*/ 678600 h 765533"/>
            <a:gd name="connsiteX79" fmla="*/ 777363 w 854844"/>
            <a:gd name="connsiteY79" fmla="*/ 705349 h 765533"/>
            <a:gd name="connsiteX80" fmla="*/ 770722 w 854844"/>
            <a:gd name="connsiteY80" fmla="*/ 725410 h 765533"/>
            <a:gd name="connsiteX81" fmla="*/ 728661 w 854844"/>
            <a:gd name="connsiteY81" fmla="*/ 733769 h 765533"/>
            <a:gd name="connsiteX82" fmla="*/ 631257 w 854844"/>
            <a:gd name="connsiteY82" fmla="*/ 748815 h 765533"/>
            <a:gd name="connsiteX83" fmla="*/ 622402 w 854844"/>
            <a:gd name="connsiteY83" fmla="*/ 740456 h 765533"/>
            <a:gd name="connsiteX84" fmla="*/ 471868 w 854844"/>
            <a:gd name="connsiteY84" fmla="*/ 760518 h 765533"/>
            <a:gd name="connsiteX85" fmla="*/ 420952 w 854844"/>
            <a:gd name="connsiteY85" fmla="*/ 765533 h 765533"/>
            <a:gd name="connsiteX86" fmla="*/ 416525 w 854844"/>
            <a:gd name="connsiteY86" fmla="*/ 765533 h 765533"/>
            <a:gd name="connsiteX87" fmla="*/ 418739 w 854844"/>
            <a:gd name="connsiteY87" fmla="*/ 762190 h 765533"/>
            <a:gd name="connsiteX88" fmla="*/ 427594 w 854844"/>
            <a:gd name="connsiteY88" fmla="*/ 753831 h 765533"/>
            <a:gd name="connsiteX89" fmla="*/ 434235 w 854844"/>
            <a:gd name="connsiteY89" fmla="*/ 742128 h 765533"/>
            <a:gd name="connsiteX90" fmla="*/ 438662 w 854844"/>
            <a:gd name="connsiteY90" fmla="*/ 733769 h 765533"/>
            <a:gd name="connsiteX91" fmla="*/ 447517 w 854844"/>
            <a:gd name="connsiteY91" fmla="*/ 707021 h 765533"/>
            <a:gd name="connsiteX92" fmla="*/ 456372 w 854844"/>
            <a:gd name="connsiteY92" fmla="*/ 688631 h 765533"/>
            <a:gd name="connsiteX93" fmla="*/ 460800 w 854844"/>
            <a:gd name="connsiteY93" fmla="*/ 678600 h 765533"/>
            <a:gd name="connsiteX94" fmla="*/ 465227 w 854844"/>
            <a:gd name="connsiteY94" fmla="*/ 645165 h 765533"/>
            <a:gd name="connsiteX95" fmla="*/ 465227 w 854844"/>
            <a:gd name="connsiteY95" fmla="*/ 618416 h 765533"/>
            <a:gd name="connsiteX96" fmla="*/ 460800 w 854844"/>
            <a:gd name="connsiteY96" fmla="*/ 579965 h 765533"/>
            <a:gd name="connsiteX97" fmla="*/ 447517 w 854844"/>
            <a:gd name="connsiteY97" fmla="*/ 551545 h 765533"/>
            <a:gd name="connsiteX98" fmla="*/ 454158 w 854844"/>
            <a:gd name="connsiteY98" fmla="*/ 541514 h 765533"/>
            <a:gd name="connsiteX99" fmla="*/ 445303 w 854844"/>
            <a:gd name="connsiteY99" fmla="*/ 546530 h 765533"/>
            <a:gd name="connsiteX100" fmla="*/ 418739 w 854844"/>
            <a:gd name="connsiteY100" fmla="*/ 498048 h 765533"/>
            <a:gd name="connsiteX101" fmla="*/ 416525 w 854844"/>
            <a:gd name="connsiteY101" fmla="*/ 488017 h 765533"/>
            <a:gd name="connsiteX102" fmla="*/ 420952 w 854844"/>
            <a:gd name="connsiteY102" fmla="*/ 479658 h 765533"/>
            <a:gd name="connsiteX103" fmla="*/ 427594 w 854844"/>
            <a:gd name="connsiteY103" fmla="*/ 471299 h 765533"/>
            <a:gd name="connsiteX104" fmla="*/ 418739 w 854844"/>
            <a:gd name="connsiteY104" fmla="*/ 441207 h 765533"/>
            <a:gd name="connsiteX105" fmla="*/ 414311 w 854844"/>
            <a:gd name="connsiteY105" fmla="*/ 432849 h 765533"/>
            <a:gd name="connsiteX106" fmla="*/ 414311 w 854844"/>
            <a:gd name="connsiteY106" fmla="*/ 424490 h 765533"/>
            <a:gd name="connsiteX107" fmla="*/ 423166 w 854844"/>
            <a:gd name="connsiteY107" fmla="*/ 414459 h 765533"/>
            <a:gd name="connsiteX108" fmla="*/ 434235 w 854844"/>
            <a:gd name="connsiteY108" fmla="*/ 387710 h 765533"/>
            <a:gd name="connsiteX109" fmla="*/ 434235 w 854844"/>
            <a:gd name="connsiteY109" fmla="*/ 377680 h 765533"/>
            <a:gd name="connsiteX110" fmla="*/ 432021 w 854844"/>
            <a:gd name="connsiteY110" fmla="*/ 367649 h 765533"/>
            <a:gd name="connsiteX111" fmla="*/ 434235 w 854844"/>
            <a:gd name="connsiteY111" fmla="*/ 352603 h 765533"/>
            <a:gd name="connsiteX112" fmla="*/ 429807 w 854844"/>
            <a:gd name="connsiteY112" fmla="*/ 334213 h 765533"/>
            <a:gd name="connsiteX113" fmla="*/ 438662 w 854844"/>
            <a:gd name="connsiteY113" fmla="*/ 327526 h 765533"/>
            <a:gd name="connsiteX114" fmla="*/ 445303 w 854844"/>
            <a:gd name="connsiteY114" fmla="*/ 319167 h 765533"/>
            <a:gd name="connsiteX115" fmla="*/ 445303 w 854844"/>
            <a:gd name="connsiteY115" fmla="*/ 310808 h 765533"/>
            <a:gd name="connsiteX116" fmla="*/ 456372 w 854844"/>
            <a:gd name="connsiteY116" fmla="*/ 292419 h 765533"/>
            <a:gd name="connsiteX117" fmla="*/ 465227 w 854844"/>
            <a:gd name="connsiteY117" fmla="*/ 294091 h 765533"/>
            <a:gd name="connsiteX118" fmla="*/ 471868 w 854844"/>
            <a:gd name="connsiteY118" fmla="*/ 287403 h 765533"/>
            <a:gd name="connsiteX119" fmla="*/ 474082 w 854844"/>
            <a:gd name="connsiteY119" fmla="*/ 279045 h 765533"/>
            <a:gd name="connsiteX120" fmla="*/ 480723 w 854844"/>
            <a:gd name="connsiteY120" fmla="*/ 270686 h 765533"/>
            <a:gd name="connsiteX121" fmla="*/ 482937 w 854844"/>
            <a:gd name="connsiteY121" fmla="*/ 260655 h 765533"/>
            <a:gd name="connsiteX122" fmla="*/ 491792 w 854844"/>
            <a:gd name="connsiteY122" fmla="*/ 252296 h 765533"/>
            <a:gd name="connsiteX123" fmla="*/ 489578 w 854844"/>
            <a:gd name="connsiteY123" fmla="*/ 279045 h 765533"/>
            <a:gd name="connsiteX124" fmla="*/ 487364 w 854844"/>
            <a:gd name="connsiteY124" fmla="*/ 285732 h 765533"/>
            <a:gd name="connsiteX125" fmla="*/ 491792 w 854844"/>
            <a:gd name="connsiteY125" fmla="*/ 294091 h 765533"/>
            <a:gd name="connsiteX126" fmla="*/ 487364 w 854844"/>
            <a:gd name="connsiteY126" fmla="*/ 304121 h 765533"/>
            <a:gd name="connsiteX127" fmla="*/ 489578 w 854844"/>
            <a:gd name="connsiteY127" fmla="*/ 312480 h 765533"/>
            <a:gd name="connsiteX128" fmla="*/ 496219 w 854844"/>
            <a:gd name="connsiteY128" fmla="*/ 304121 h 765533"/>
            <a:gd name="connsiteX129" fmla="*/ 498433 w 854844"/>
            <a:gd name="connsiteY129" fmla="*/ 285732 h 765533"/>
            <a:gd name="connsiteX130" fmla="*/ 502860 w 854844"/>
            <a:gd name="connsiteY130" fmla="*/ 284060 h 765533"/>
            <a:gd name="connsiteX131" fmla="*/ 502860 w 854844"/>
            <a:gd name="connsiteY131" fmla="*/ 304121 h 765533"/>
            <a:gd name="connsiteX132" fmla="*/ 500647 w 854844"/>
            <a:gd name="connsiteY132" fmla="*/ 312480 h 765533"/>
            <a:gd name="connsiteX133" fmla="*/ 507288 w 854844"/>
            <a:gd name="connsiteY133" fmla="*/ 304121 h 765533"/>
            <a:gd name="connsiteX134" fmla="*/ 509502 w 854844"/>
            <a:gd name="connsiteY134" fmla="*/ 292419 h 765533"/>
            <a:gd name="connsiteX135" fmla="*/ 511715 w 854844"/>
            <a:gd name="connsiteY135" fmla="*/ 284060 h 765533"/>
            <a:gd name="connsiteX136" fmla="*/ 511715 w 854844"/>
            <a:gd name="connsiteY136" fmla="*/ 274029 h 765533"/>
            <a:gd name="connsiteX137" fmla="*/ 507288 w 854844"/>
            <a:gd name="connsiteY137" fmla="*/ 245609 h 765533"/>
            <a:gd name="connsiteX138" fmla="*/ 513929 w 854844"/>
            <a:gd name="connsiteY138" fmla="*/ 237250 h 765533"/>
            <a:gd name="connsiteX139" fmla="*/ 522784 w 854844"/>
            <a:gd name="connsiteY139" fmla="*/ 230563 h 765533"/>
            <a:gd name="connsiteX140" fmla="*/ 531639 w 854844"/>
            <a:gd name="connsiteY140" fmla="*/ 223876 h 765533"/>
            <a:gd name="connsiteX141" fmla="*/ 544921 w 854844"/>
            <a:gd name="connsiteY141" fmla="*/ 223876 h 765533"/>
            <a:gd name="connsiteX142" fmla="*/ 544921 w 854844"/>
            <a:gd name="connsiteY142" fmla="*/ 217189 h 765533"/>
            <a:gd name="connsiteX143" fmla="*/ 536066 w 854844"/>
            <a:gd name="connsiteY143" fmla="*/ 210502 h 765533"/>
            <a:gd name="connsiteX144" fmla="*/ 531639 w 854844"/>
            <a:gd name="connsiteY144" fmla="*/ 200471 h 765533"/>
            <a:gd name="connsiteX145" fmla="*/ 531639 w 854844"/>
            <a:gd name="connsiteY145" fmla="*/ 192112 h 765533"/>
            <a:gd name="connsiteX146" fmla="*/ 540494 w 854844"/>
            <a:gd name="connsiteY146" fmla="*/ 180409 h 765533"/>
            <a:gd name="connsiteX147" fmla="*/ 544921 w 854844"/>
            <a:gd name="connsiteY147" fmla="*/ 172051 h 765533"/>
            <a:gd name="connsiteX148" fmla="*/ 553776 w 854844"/>
            <a:gd name="connsiteY148" fmla="*/ 167035 h 765533"/>
            <a:gd name="connsiteX149" fmla="*/ 160170 w 854844"/>
            <a:gd name="connsiteY149" fmla="*/ 0 h 765533"/>
            <a:gd name="connsiteX150" fmla="*/ 164558 w 854844"/>
            <a:gd name="connsiteY150" fmla="*/ 9931 h 765533"/>
            <a:gd name="connsiteX151" fmla="*/ 171140 w 854844"/>
            <a:gd name="connsiteY151" fmla="*/ 11587 h 765533"/>
            <a:gd name="connsiteX152" fmla="*/ 186499 w 854844"/>
            <a:gd name="connsiteY152" fmla="*/ 31449 h 765533"/>
            <a:gd name="connsiteX153" fmla="*/ 184305 w 854844"/>
            <a:gd name="connsiteY153" fmla="*/ 49656 h 765533"/>
            <a:gd name="connsiteX154" fmla="*/ 186499 w 854844"/>
            <a:gd name="connsiteY154" fmla="*/ 57932 h 765533"/>
            <a:gd name="connsiteX155" fmla="*/ 190887 w 854844"/>
            <a:gd name="connsiteY155" fmla="*/ 52967 h 765533"/>
            <a:gd name="connsiteX156" fmla="*/ 193081 w 854844"/>
            <a:gd name="connsiteY156" fmla="*/ 44691 h 765533"/>
            <a:gd name="connsiteX157" fmla="*/ 201858 w 854844"/>
            <a:gd name="connsiteY157" fmla="*/ 39725 h 765533"/>
            <a:gd name="connsiteX158" fmla="*/ 210634 w 854844"/>
            <a:gd name="connsiteY158" fmla="*/ 31449 h 765533"/>
            <a:gd name="connsiteX159" fmla="*/ 204052 w 854844"/>
            <a:gd name="connsiteY159" fmla="*/ 49656 h 765533"/>
            <a:gd name="connsiteX160" fmla="*/ 208440 w 854844"/>
            <a:gd name="connsiteY160" fmla="*/ 46346 h 765533"/>
            <a:gd name="connsiteX161" fmla="*/ 212828 w 854844"/>
            <a:gd name="connsiteY161" fmla="*/ 38070 h 765533"/>
            <a:gd name="connsiteX162" fmla="*/ 221604 w 854844"/>
            <a:gd name="connsiteY162" fmla="*/ 36415 h 765533"/>
            <a:gd name="connsiteX163" fmla="*/ 241351 w 854844"/>
            <a:gd name="connsiteY163" fmla="*/ 36415 h 765533"/>
            <a:gd name="connsiteX164" fmla="*/ 250128 w 854844"/>
            <a:gd name="connsiteY164" fmla="*/ 36415 h 765533"/>
            <a:gd name="connsiteX165" fmla="*/ 258904 w 854844"/>
            <a:gd name="connsiteY165" fmla="*/ 44691 h 765533"/>
            <a:gd name="connsiteX166" fmla="*/ 267681 w 854844"/>
            <a:gd name="connsiteY166" fmla="*/ 46346 h 765533"/>
            <a:gd name="connsiteX167" fmla="*/ 272069 w 854844"/>
            <a:gd name="connsiteY167" fmla="*/ 56277 h 765533"/>
            <a:gd name="connsiteX168" fmla="*/ 289622 w 854844"/>
            <a:gd name="connsiteY168" fmla="*/ 72829 h 765533"/>
            <a:gd name="connsiteX169" fmla="*/ 294010 w 854844"/>
            <a:gd name="connsiteY169" fmla="*/ 84416 h 765533"/>
            <a:gd name="connsiteX170" fmla="*/ 304980 w 854844"/>
            <a:gd name="connsiteY170" fmla="*/ 89381 h 765533"/>
            <a:gd name="connsiteX171" fmla="*/ 313757 w 854844"/>
            <a:gd name="connsiteY171" fmla="*/ 86071 h 765533"/>
            <a:gd name="connsiteX172" fmla="*/ 333504 w 854844"/>
            <a:gd name="connsiteY172" fmla="*/ 79450 h 765533"/>
            <a:gd name="connsiteX173" fmla="*/ 342280 w 854844"/>
            <a:gd name="connsiteY173" fmla="*/ 86071 h 765533"/>
            <a:gd name="connsiteX174" fmla="*/ 353251 w 854844"/>
            <a:gd name="connsiteY174" fmla="*/ 89381 h 765533"/>
            <a:gd name="connsiteX175" fmla="*/ 362027 w 854844"/>
            <a:gd name="connsiteY175" fmla="*/ 89381 h 765533"/>
            <a:gd name="connsiteX176" fmla="*/ 368609 w 854844"/>
            <a:gd name="connsiteY176" fmla="*/ 91036 h 765533"/>
            <a:gd name="connsiteX177" fmla="*/ 383968 w 854844"/>
            <a:gd name="connsiteY177" fmla="*/ 72829 h 765533"/>
            <a:gd name="connsiteX178" fmla="*/ 401521 w 854844"/>
            <a:gd name="connsiteY178" fmla="*/ 62898 h 765533"/>
            <a:gd name="connsiteX179" fmla="*/ 410297 w 854844"/>
            <a:gd name="connsiteY179" fmla="*/ 52967 h 765533"/>
            <a:gd name="connsiteX180" fmla="*/ 425656 w 854844"/>
            <a:gd name="connsiteY180" fmla="*/ 49656 h 765533"/>
            <a:gd name="connsiteX181" fmla="*/ 434432 w 854844"/>
            <a:gd name="connsiteY181" fmla="*/ 44691 h 765533"/>
            <a:gd name="connsiteX182" fmla="*/ 471732 w 854844"/>
            <a:gd name="connsiteY182" fmla="*/ 43035 h 765533"/>
            <a:gd name="connsiteX183" fmla="*/ 480508 w 854844"/>
            <a:gd name="connsiteY183" fmla="*/ 39725 h 765533"/>
            <a:gd name="connsiteX184" fmla="*/ 498061 w 854844"/>
            <a:gd name="connsiteY184" fmla="*/ 29794 h 765533"/>
            <a:gd name="connsiteX185" fmla="*/ 506838 w 854844"/>
            <a:gd name="connsiteY185" fmla="*/ 26483 h 765533"/>
            <a:gd name="connsiteX186" fmla="*/ 524391 w 854844"/>
            <a:gd name="connsiteY186" fmla="*/ 24828 h 765533"/>
            <a:gd name="connsiteX187" fmla="*/ 524391 w 854844"/>
            <a:gd name="connsiteY187" fmla="*/ 56277 h 765533"/>
            <a:gd name="connsiteX188" fmla="*/ 528779 w 854844"/>
            <a:gd name="connsiteY188" fmla="*/ 64553 h 765533"/>
            <a:gd name="connsiteX189" fmla="*/ 546332 w 854844"/>
            <a:gd name="connsiteY189" fmla="*/ 66208 h 765533"/>
            <a:gd name="connsiteX190" fmla="*/ 566078 w 854844"/>
            <a:gd name="connsiteY190" fmla="*/ 59587 h 765533"/>
            <a:gd name="connsiteX191" fmla="*/ 570467 w 854844"/>
            <a:gd name="connsiteY191" fmla="*/ 69519 h 765533"/>
            <a:gd name="connsiteX192" fmla="*/ 579243 w 854844"/>
            <a:gd name="connsiteY192" fmla="*/ 64553 h 765533"/>
            <a:gd name="connsiteX193" fmla="*/ 585825 w 854844"/>
            <a:gd name="connsiteY193" fmla="*/ 56277 h 765533"/>
            <a:gd name="connsiteX194" fmla="*/ 592408 w 854844"/>
            <a:gd name="connsiteY194" fmla="*/ 52967 h 765533"/>
            <a:gd name="connsiteX195" fmla="*/ 601184 w 854844"/>
            <a:gd name="connsiteY195" fmla="*/ 62898 h 765533"/>
            <a:gd name="connsiteX196" fmla="*/ 605572 w 854844"/>
            <a:gd name="connsiteY196" fmla="*/ 71174 h 765533"/>
            <a:gd name="connsiteX197" fmla="*/ 609961 w 854844"/>
            <a:gd name="connsiteY197" fmla="*/ 79450 h 765533"/>
            <a:gd name="connsiteX198" fmla="*/ 609961 w 854844"/>
            <a:gd name="connsiteY198" fmla="*/ 91036 h 765533"/>
            <a:gd name="connsiteX199" fmla="*/ 618737 w 854844"/>
            <a:gd name="connsiteY199" fmla="*/ 97657 h 765533"/>
            <a:gd name="connsiteX200" fmla="*/ 620931 w 854844"/>
            <a:gd name="connsiteY200" fmla="*/ 97657 h 765533"/>
            <a:gd name="connsiteX201" fmla="*/ 629707 w 854844"/>
            <a:gd name="connsiteY201" fmla="*/ 102623 h 765533"/>
            <a:gd name="connsiteX202" fmla="*/ 629707 w 854844"/>
            <a:gd name="connsiteY202" fmla="*/ 110899 h 765533"/>
            <a:gd name="connsiteX203" fmla="*/ 640678 w 854844"/>
            <a:gd name="connsiteY203" fmla="*/ 115864 h 765533"/>
            <a:gd name="connsiteX204" fmla="*/ 645066 w 854844"/>
            <a:gd name="connsiteY204" fmla="*/ 124140 h 765533"/>
            <a:gd name="connsiteX205" fmla="*/ 636290 w 854844"/>
            <a:gd name="connsiteY205" fmla="*/ 125796 h 765533"/>
            <a:gd name="connsiteX206" fmla="*/ 594602 w 854844"/>
            <a:gd name="connsiteY206" fmla="*/ 124140 h 765533"/>
            <a:gd name="connsiteX207" fmla="*/ 585825 w 854844"/>
            <a:gd name="connsiteY207" fmla="*/ 129106 h 765533"/>
            <a:gd name="connsiteX208" fmla="*/ 577049 w 854844"/>
            <a:gd name="connsiteY208" fmla="*/ 124140 h 765533"/>
            <a:gd name="connsiteX209" fmla="*/ 568273 w 854844"/>
            <a:gd name="connsiteY209" fmla="*/ 124140 h 765533"/>
            <a:gd name="connsiteX210" fmla="*/ 566078 w 854844"/>
            <a:gd name="connsiteY210" fmla="*/ 135727 h 765533"/>
            <a:gd name="connsiteX211" fmla="*/ 566078 w 854844"/>
            <a:gd name="connsiteY211" fmla="*/ 150624 h 765533"/>
            <a:gd name="connsiteX212" fmla="*/ 557302 w 854844"/>
            <a:gd name="connsiteY212" fmla="*/ 148969 h 765533"/>
            <a:gd name="connsiteX213" fmla="*/ 537555 w 854844"/>
            <a:gd name="connsiteY213" fmla="*/ 132417 h 765533"/>
            <a:gd name="connsiteX214" fmla="*/ 517808 w 854844"/>
            <a:gd name="connsiteY214" fmla="*/ 125796 h 765533"/>
            <a:gd name="connsiteX215" fmla="*/ 509032 w 854844"/>
            <a:gd name="connsiteY215" fmla="*/ 125796 h 765533"/>
            <a:gd name="connsiteX216" fmla="*/ 500255 w 854844"/>
            <a:gd name="connsiteY216" fmla="*/ 124140 h 765533"/>
            <a:gd name="connsiteX217" fmla="*/ 482703 w 854844"/>
            <a:gd name="connsiteY217" fmla="*/ 125796 h 765533"/>
            <a:gd name="connsiteX218" fmla="*/ 476120 w 854844"/>
            <a:gd name="connsiteY218" fmla="*/ 142348 h 765533"/>
            <a:gd name="connsiteX219" fmla="*/ 467344 w 854844"/>
            <a:gd name="connsiteY219" fmla="*/ 145658 h 765533"/>
            <a:gd name="connsiteX220" fmla="*/ 456373 w 854844"/>
            <a:gd name="connsiteY220" fmla="*/ 145658 h 765533"/>
            <a:gd name="connsiteX221" fmla="*/ 438821 w 854844"/>
            <a:gd name="connsiteY221" fmla="*/ 150624 h 765533"/>
            <a:gd name="connsiteX222" fmla="*/ 430044 w 854844"/>
            <a:gd name="connsiteY222" fmla="*/ 150624 h 765533"/>
            <a:gd name="connsiteX223" fmla="*/ 421268 w 854844"/>
            <a:gd name="connsiteY223" fmla="*/ 152279 h 765533"/>
            <a:gd name="connsiteX224" fmla="*/ 414685 w 854844"/>
            <a:gd name="connsiteY224" fmla="*/ 157245 h 765533"/>
            <a:gd name="connsiteX225" fmla="*/ 408103 w 854844"/>
            <a:gd name="connsiteY225" fmla="*/ 165521 h 765533"/>
            <a:gd name="connsiteX226" fmla="*/ 408103 w 854844"/>
            <a:gd name="connsiteY226" fmla="*/ 175452 h 765533"/>
            <a:gd name="connsiteX227" fmla="*/ 397133 w 854844"/>
            <a:gd name="connsiteY227" fmla="*/ 183728 h 765533"/>
            <a:gd name="connsiteX228" fmla="*/ 388356 w 854844"/>
            <a:gd name="connsiteY228" fmla="*/ 192004 h 765533"/>
            <a:gd name="connsiteX229" fmla="*/ 383968 w 854844"/>
            <a:gd name="connsiteY229" fmla="*/ 201935 h 765533"/>
            <a:gd name="connsiteX230" fmla="*/ 375192 w 854844"/>
            <a:gd name="connsiteY230" fmla="*/ 201935 h 765533"/>
            <a:gd name="connsiteX231" fmla="*/ 379580 w 854844"/>
            <a:gd name="connsiteY231" fmla="*/ 188694 h 765533"/>
            <a:gd name="connsiteX232" fmla="*/ 388356 w 854844"/>
            <a:gd name="connsiteY232" fmla="*/ 182073 h 765533"/>
            <a:gd name="connsiteX233" fmla="*/ 388356 w 854844"/>
            <a:gd name="connsiteY233" fmla="*/ 172141 h 765533"/>
            <a:gd name="connsiteX234" fmla="*/ 379580 w 854844"/>
            <a:gd name="connsiteY234" fmla="*/ 170486 h 765533"/>
            <a:gd name="connsiteX235" fmla="*/ 370803 w 854844"/>
            <a:gd name="connsiteY235" fmla="*/ 175452 h 765533"/>
            <a:gd name="connsiteX236" fmla="*/ 362027 w 854844"/>
            <a:gd name="connsiteY236" fmla="*/ 183728 h 765533"/>
            <a:gd name="connsiteX237" fmla="*/ 359833 w 854844"/>
            <a:gd name="connsiteY237" fmla="*/ 188694 h 765533"/>
            <a:gd name="connsiteX238" fmla="*/ 351056 w 854844"/>
            <a:gd name="connsiteY238" fmla="*/ 196970 h 765533"/>
            <a:gd name="connsiteX239" fmla="*/ 346668 w 854844"/>
            <a:gd name="connsiteY239" fmla="*/ 188694 h 765533"/>
            <a:gd name="connsiteX240" fmla="*/ 342280 w 854844"/>
            <a:gd name="connsiteY240" fmla="*/ 178762 h 765533"/>
            <a:gd name="connsiteX241" fmla="*/ 346668 w 854844"/>
            <a:gd name="connsiteY241" fmla="*/ 170486 h 765533"/>
            <a:gd name="connsiteX242" fmla="*/ 337892 w 854844"/>
            <a:gd name="connsiteY242" fmla="*/ 183728 h 765533"/>
            <a:gd name="connsiteX243" fmla="*/ 335698 w 854844"/>
            <a:gd name="connsiteY243" fmla="*/ 201935 h 765533"/>
            <a:gd name="connsiteX244" fmla="*/ 326921 w 854844"/>
            <a:gd name="connsiteY244" fmla="*/ 210211 h 765533"/>
            <a:gd name="connsiteX245" fmla="*/ 322533 w 854844"/>
            <a:gd name="connsiteY245" fmla="*/ 218487 h 765533"/>
            <a:gd name="connsiteX246" fmla="*/ 315951 w 854844"/>
            <a:gd name="connsiteY246" fmla="*/ 238350 h 765533"/>
            <a:gd name="connsiteX247" fmla="*/ 302786 w 854844"/>
            <a:gd name="connsiteY247" fmla="*/ 264833 h 765533"/>
            <a:gd name="connsiteX248" fmla="*/ 294010 w 854844"/>
            <a:gd name="connsiteY248" fmla="*/ 281385 h 765533"/>
            <a:gd name="connsiteX249" fmla="*/ 294010 w 854844"/>
            <a:gd name="connsiteY249" fmla="*/ 289661 h 765533"/>
            <a:gd name="connsiteX250" fmla="*/ 289622 w 854844"/>
            <a:gd name="connsiteY250" fmla="*/ 288006 h 765533"/>
            <a:gd name="connsiteX251" fmla="*/ 280845 w 854844"/>
            <a:gd name="connsiteY251" fmla="*/ 281385 h 765533"/>
            <a:gd name="connsiteX252" fmla="*/ 280845 w 854844"/>
            <a:gd name="connsiteY252" fmla="*/ 271454 h 765533"/>
            <a:gd name="connsiteX253" fmla="*/ 285233 w 854844"/>
            <a:gd name="connsiteY253" fmla="*/ 251591 h 765533"/>
            <a:gd name="connsiteX254" fmla="*/ 276457 w 854844"/>
            <a:gd name="connsiteY254" fmla="*/ 254902 h 765533"/>
            <a:gd name="connsiteX255" fmla="*/ 267681 w 854844"/>
            <a:gd name="connsiteY255" fmla="*/ 256557 h 765533"/>
            <a:gd name="connsiteX256" fmla="*/ 263292 w 854844"/>
            <a:gd name="connsiteY256" fmla="*/ 248281 h 765533"/>
            <a:gd name="connsiteX257" fmla="*/ 267681 w 854844"/>
            <a:gd name="connsiteY257" fmla="*/ 238350 h 765533"/>
            <a:gd name="connsiteX258" fmla="*/ 267681 w 854844"/>
            <a:gd name="connsiteY258" fmla="*/ 221798 h 765533"/>
            <a:gd name="connsiteX259" fmla="*/ 263292 w 854844"/>
            <a:gd name="connsiteY259" fmla="*/ 211866 h 765533"/>
            <a:gd name="connsiteX260" fmla="*/ 267681 w 854844"/>
            <a:gd name="connsiteY260" fmla="*/ 210211 h 765533"/>
            <a:gd name="connsiteX261" fmla="*/ 256710 w 854844"/>
            <a:gd name="connsiteY261" fmla="*/ 201935 h 765533"/>
            <a:gd name="connsiteX262" fmla="*/ 243545 w 854844"/>
            <a:gd name="connsiteY262" fmla="*/ 196970 h 765533"/>
            <a:gd name="connsiteX263" fmla="*/ 234769 w 854844"/>
            <a:gd name="connsiteY263" fmla="*/ 195314 h 765533"/>
            <a:gd name="connsiteX264" fmla="*/ 232575 w 854844"/>
            <a:gd name="connsiteY264" fmla="*/ 178762 h 765533"/>
            <a:gd name="connsiteX265" fmla="*/ 223799 w 854844"/>
            <a:gd name="connsiteY265" fmla="*/ 172141 h 765533"/>
            <a:gd name="connsiteX266" fmla="*/ 199663 w 854844"/>
            <a:gd name="connsiteY266" fmla="*/ 170486 h 765533"/>
            <a:gd name="connsiteX267" fmla="*/ 190887 w 854844"/>
            <a:gd name="connsiteY267" fmla="*/ 165521 h 765533"/>
            <a:gd name="connsiteX268" fmla="*/ 182111 w 854844"/>
            <a:gd name="connsiteY268" fmla="*/ 170486 h 765533"/>
            <a:gd name="connsiteX269" fmla="*/ 164558 w 854844"/>
            <a:gd name="connsiteY269" fmla="*/ 165521 h 765533"/>
            <a:gd name="connsiteX270" fmla="*/ 160170 w 854844"/>
            <a:gd name="connsiteY270" fmla="*/ 168831 h 765533"/>
            <a:gd name="connsiteX271" fmla="*/ 129452 w 854844"/>
            <a:gd name="connsiteY271" fmla="*/ 155589 h 765533"/>
            <a:gd name="connsiteX272" fmla="*/ 32912 w 854844"/>
            <a:gd name="connsiteY272" fmla="*/ 135727 h 765533"/>
            <a:gd name="connsiteX273" fmla="*/ 21941 w 854844"/>
            <a:gd name="connsiteY273" fmla="*/ 117520 h 765533"/>
            <a:gd name="connsiteX274" fmla="*/ 13165 w 854844"/>
            <a:gd name="connsiteY274" fmla="*/ 110899 h 765533"/>
            <a:gd name="connsiteX275" fmla="*/ 4388 w 854844"/>
            <a:gd name="connsiteY275" fmla="*/ 105933 h 765533"/>
            <a:gd name="connsiteX276" fmla="*/ 0 w 854844"/>
            <a:gd name="connsiteY276" fmla="*/ 102623 h 765533"/>
            <a:gd name="connsiteX277" fmla="*/ 8777 w 854844"/>
            <a:gd name="connsiteY277" fmla="*/ 97657 h 765533"/>
            <a:gd name="connsiteX278" fmla="*/ 35106 w 854844"/>
            <a:gd name="connsiteY278" fmla="*/ 84416 h 765533"/>
            <a:gd name="connsiteX279" fmla="*/ 52659 w 854844"/>
            <a:gd name="connsiteY279" fmla="*/ 66208 h 765533"/>
            <a:gd name="connsiteX280" fmla="*/ 61435 w 854844"/>
            <a:gd name="connsiteY280" fmla="*/ 62898 h 765533"/>
            <a:gd name="connsiteX281" fmla="*/ 70211 w 854844"/>
            <a:gd name="connsiteY281" fmla="*/ 62898 h 765533"/>
            <a:gd name="connsiteX282" fmla="*/ 78988 w 854844"/>
            <a:gd name="connsiteY282" fmla="*/ 57932 h 765533"/>
            <a:gd name="connsiteX283" fmla="*/ 89958 w 854844"/>
            <a:gd name="connsiteY283" fmla="*/ 57932 h 765533"/>
            <a:gd name="connsiteX284" fmla="*/ 98735 w 854844"/>
            <a:gd name="connsiteY284" fmla="*/ 52967 h 765533"/>
            <a:gd name="connsiteX285" fmla="*/ 107511 w 854844"/>
            <a:gd name="connsiteY285" fmla="*/ 49656 h 765533"/>
            <a:gd name="connsiteX286" fmla="*/ 116288 w 854844"/>
            <a:gd name="connsiteY286" fmla="*/ 38070 h 765533"/>
            <a:gd name="connsiteX287" fmla="*/ 133840 w 854844"/>
            <a:gd name="connsiteY287" fmla="*/ 31449 h 765533"/>
            <a:gd name="connsiteX288" fmla="*/ 140423 w 854844"/>
            <a:gd name="connsiteY288" fmla="*/ 23173 h 7655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</a:cxnLst>
          <a:rect l="l" t="t" r="r" b="b"/>
          <a:pathLst>
            <a:path w="854844" h="765533">
              <a:moveTo>
                <a:pt x="562631" y="160348"/>
              </a:moveTo>
              <a:lnTo>
                <a:pt x="571486" y="165363"/>
              </a:lnTo>
              <a:lnTo>
                <a:pt x="580341" y="167035"/>
              </a:lnTo>
              <a:lnTo>
                <a:pt x="589196" y="173722"/>
              </a:lnTo>
              <a:lnTo>
                <a:pt x="598051" y="173722"/>
              </a:lnTo>
              <a:lnTo>
                <a:pt x="606906" y="172051"/>
              </a:lnTo>
              <a:lnTo>
                <a:pt x="613547" y="177066"/>
              </a:lnTo>
              <a:lnTo>
                <a:pt x="622402" y="180409"/>
              </a:lnTo>
              <a:lnTo>
                <a:pt x="629043" y="190440"/>
              </a:lnTo>
              <a:lnTo>
                <a:pt x="637898" y="192112"/>
              </a:lnTo>
              <a:lnTo>
                <a:pt x="646753" y="192112"/>
              </a:lnTo>
              <a:lnTo>
                <a:pt x="655608" y="197127"/>
              </a:lnTo>
              <a:lnTo>
                <a:pt x="675532" y="203814"/>
              </a:lnTo>
              <a:lnTo>
                <a:pt x="684387" y="207158"/>
              </a:lnTo>
              <a:lnTo>
                <a:pt x="693242" y="207158"/>
              </a:lnTo>
              <a:lnTo>
                <a:pt x="704310" y="212173"/>
              </a:lnTo>
              <a:lnTo>
                <a:pt x="706524" y="220532"/>
              </a:lnTo>
              <a:lnTo>
                <a:pt x="713165" y="230563"/>
              </a:lnTo>
              <a:lnTo>
                <a:pt x="719806" y="233906"/>
              </a:lnTo>
              <a:lnTo>
                <a:pt x="719806" y="243937"/>
              </a:lnTo>
              <a:lnTo>
                <a:pt x="710951" y="245609"/>
              </a:lnTo>
              <a:lnTo>
                <a:pt x="706524" y="257311"/>
              </a:lnTo>
              <a:lnTo>
                <a:pt x="710951" y="265670"/>
              </a:lnTo>
              <a:lnTo>
                <a:pt x="722020" y="272357"/>
              </a:lnTo>
              <a:lnTo>
                <a:pt x="726448" y="280716"/>
              </a:lnTo>
              <a:lnTo>
                <a:pt x="730875" y="299106"/>
              </a:lnTo>
              <a:lnTo>
                <a:pt x="728661" y="317496"/>
              </a:lnTo>
              <a:lnTo>
                <a:pt x="733089" y="347588"/>
              </a:lnTo>
              <a:lnTo>
                <a:pt x="724234" y="357618"/>
              </a:lnTo>
              <a:lnTo>
                <a:pt x="715379" y="360962"/>
              </a:lnTo>
              <a:lnTo>
                <a:pt x="713165" y="370993"/>
              </a:lnTo>
              <a:lnTo>
                <a:pt x="710951" y="387710"/>
              </a:lnTo>
              <a:lnTo>
                <a:pt x="702097" y="404428"/>
              </a:lnTo>
              <a:lnTo>
                <a:pt x="693242" y="406100"/>
              </a:lnTo>
              <a:lnTo>
                <a:pt x="684387" y="412787"/>
              </a:lnTo>
              <a:lnTo>
                <a:pt x="682173" y="431177"/>
              </a:lnTo>
              <a:lnTo>
                <a:pt x="682173" y="444551"/>
              </a:lnTo>
              <a:lnTo>
                <a:pt x="693242" y="454582"/>
              </a:lnTo>
              <a:lnTo>
                <a:pt x="704310" y="457925"/>
              </a:lnTo>
              <a:lnTo>
                <a:pt x="713165" y="459597"/>
              </a:lnTo>
              <a:lnTo>
                <a:pt x="719806" y="451238"/>
              </a:lnTo>
              <a:lnTo>
                <a:pt x="724234" y="441207"/>
              </a:lnTo>
              <a:lnTo>
                <a:pt x="733089" y="434520"/>
              </a:lnTo>
              <a:lnTo>
                <a:pt x="737516" y="419474"/>
              </a:lnTo>
              <a:lnTo>
                <a:pt x="735303" y="411115"/>
              </a:lnTo>
              <a:lnTo>
                <a:pt x="744157" y="406100"/>
              </a:lnTo>
              <a:lnTo>
                <a:pt x="753012" y="397741"/>
              </a:lnTo>
              <a:lnTo>
                <a:pt x="761867" y="392726"/>
              </a:lnTo>
              <a:lnTo>
                <a:pt x="777363" y="384367"/>
              </a:lnTo>
              <a:lnTo>
                <a:pt x="786218" y="384367"/>
              </a:lnTo>
              <a:lnTo>
                <a:pt x="795073" y="387710"/>
              </a:lnTo>
              <a:lnTo>
                <a:pt x="803928" y="397741"/>
              </a:lnTo>
              <a:lnTo>
                <a:pt x="814997" y="414459"/>
              </a:lnTo>
              <a:lnTo>
                <a:pt x="823852" y="452910"/>
              </a:lnTo>
              <a:lnTo>
                <a:pt x="830493" y="461269"/>
              </a:lnTo>
              <a:lnTo>
                <a:pt x="834921" y="479658"/>
              </a:lnTo>
              <a:lnTo>
                <a:pt x="841562" y="499720"/>
              </a:lnTo>
              <a:lnTo>
                <a:pt x="845989" y="511422"/>
              </a:lnTo>
              <a:lnTo>
                <a:pt x="854844" y="524797"/>
              </a:lnTo>
              <a:lnTo>
                <a:pt x="854844" y="533155"/>
              </a:lnTo>
              <a:lnTo>
                <a:pt x="852630" y="534827"/>
              </a:lnTo>
              <a:lnTo>
                <a:pt x="850417" y="554889"/>
              </a:lnTo>
              <a:lnTo>
                <a:pt x="854844" y="561576"/>
              </a:lnTo>
              <a:lnTo>
                <a:pt x="852630" y="581637"/>
              </a:lnTo>
              <a:lnTo>
                <a:pt x="845989" y="591668"/>
              </a:lnTo>
              <a:lnTo>
                <a:pt x="841562" y="593340"/>
              </a:lnTo>
              <a:lnTo>
                <a:pt x="841562" y="591668"/>
              </a:lnTo>
              <a:lnTo>
                <a:pt x="839348" y="581637"/>
              </a:lnTo>
              <a:lnTo>
                <a:pt x="834921" y="574950"/>
              </a:lnTo>
              <a:lnTo>
                <a:pt x="826066" y="581637"/>
              </a:lnTo>
              <a:lnTo>
                <a:pt x="823852" y="588324"/>
              </a:lnTo>
              <a:lnTo>
                <a:pt x="817211" y="598355"/>
              </a:lnTo>
              <a:lnTo>
                <a:pt x="819424" y="618416"/>
              </a:lnTo>
              <a:lnTo>
                <a:pt x="810569" y="626775"/>
              </a:lnTo>
              <a:lnTo>
                <a:pt x="801715" y="635134"/>
              </a:lnTo>
              <a:lnTo>
                <a:pt x="799501" y="638478"/>
              </a:lnTo>
              <a:lnTo>
                <a:pt x="797287" y="641821"/>
              </a:lnTo>
              <a:lnTo>
                <a:pt x="795073" y="651852"/>
              </a:lnTo>
              <a:lnTo>
                <a:pt x="792860" y="678600"/>
              </a:lnTo>
              <a:lnTo>
                <a:pt x="777363" y="705349"/>
              </a:lnTo>
              <a:lnTo>
                <a:pt x="770722" y="725410"/>
              </a:lnTo>
              <a:lnTo>
                <a:pt x="728661" y="733769"/>
              </a:lnTo>
              <a:lnTo>
                <a:pt x="631257" y="748815"/>
              </a:lnTo>
              <a:lnTo>
                <a:pt x="622402" y="740456"/>
              </a:lnTo>
              <a:lnTo>
                <a:pt x="471868" y="760518"/>
              </a:lnTo>
              <a:lnTo>
                <a:pt x="420952" y="765533"/>
              </a:lnTo>
              <a:lnTo>
                <a:pt x="416525" y="765533"/>
              </a:lnTo>
              <a:lnTo>
                <a:pt x="418739" y="762190"/>
              </a:lnTo>
              <a:lnTo>
                <a:pt x="427594" y="753831"/>
              </a:lnTo>
              <a:lnTo>
                <a:pt x="434235" y="742128"/>
              </a:lnTo>
              <a:lnTo>
                <a:pt x="438662" y="733769"/>
              </a:lnTo>
              <a:lnTo>
                <a:pt x="447517" y="707021"/>
              </a:lnTo>
              <a:lnTo>
                <a:pt x="456372" y="688631"/>
              </a:lnTo>
              <a:lnTo>
                <a:pt x="460800" y="678600"/>
              </a:lnTo>
              <a:lnTo>
                <a:pt x="465227" y="645165"/>
              </a:lnTo>
              <a:lnTo>
                <a:pt x="465227" y="618416"/>
              </a:lnTo>
              <a:lnTo>
                <a:pt x="460800" y="579965"/>
              </a:lnTo>
              <a:lnTo>
                <a:pt x="447517" y="551545"/>
              </a:lnTo>
              <a:lnTo>
                <a:pt x="454158" y="541514"/>
              </a:lnTo>
              <a:lnTo>
                <a:pt x="445303" y="546530"/>
              </a:lnTo>
              <a:lnTo>
                <a:pt x="418739" y="498048"/>
              </a:lnTo>
              <a:lnTo>
                <a:pt x="416525" y="488017"/>
              </a:lnTo>
              <a:lnTo>
                <a:pt x="420952" y="479658"/>
              </a:lnTo>
              <a:lnTo>
                <a:pt x="427594" y="471299"/>
              </a:lnTo>
              <a:lnTo>
                <a:pt x="418739" y="441207"/>
              </a:lnTo>
              <a:lnTo>
                <a:pt x="414311" y="432849"/>
              </a:lnTo>
              <a:lnTo>
                <a:pt x="414311" y="424490"/>
              </a:lnTo>
              <a:lnTo>
                <a:pt x="423166" y="414459"/>
              </a:lnTo>
              <a:lnTo>
                <a:pt x="434235" y="387710"/>
              </a:lnTo>
              <a:lnTo>
                <a:pt x="434235" y="377680"/>
              </a:lnTo>
              <a:lnTo>
                <a:pt x="432021" y="367649"/>
              </a:lnTo>
              <a:lnTo>
                <a:pt x="434235" y="352603"/>
              </a:lnTo>
              <a:lnTo>
                <a:pt x="429807" y="334213"/>
              </a:lnTo>
              <a:lnTo>
                <a:pt x="438662" y="327526"/>
              </a:lnTo>
              <a:lnTo>
                <a:pt x="445303" y="319167"/>
              </a:lnTo>
              <a:lnTo>
                <a:pt x="445303" y="310808"/>
              </a:lnTo>
              <a:lnTo>
                <a:pt x="456372" y="292419"/>
              </a:lnTo>
              <a:lnTo>
                <a:pt x="465227" y="294091"/>
              </a:lnTo>
              <a:lnTo>
                <a:pt x="471868" y="287403"/>
              </a:lnTo>
              <a:lnTo>
                <a:pt x="474082" y="279045"/>
              </a:lnTo>
              <a:lnTo>
                <a:pt x="480723" y="270686"/>
              </a:lnTo>
              <a:lnTo>
                <a:pt x="482937" y="260655"/>
              </a:lnTo>
              <a:lnTo>
                <a:pt x="491792" y="252296"/>
              </a:lnTo>
              <a:lnTo>
                <a:pt x="489578" y="279045"/>
              </a:lnTo>
              <a:lnTo>
                <a:pt x="487364" y="285732"/>
              </a:lnTo>
              <a:lnTo>
                <a:pt x="491792" y="294091"/>
              </a:lnTo>
              <a:lnTo>
                <a:pt x="487364" y="304121"/>
              </a:lnTo>
              <a:lnTo>
                <a:pt x="489578" y="312480"/>
              </a:lnTo>
              <a:lnTo>
                <a:pt x="496219" y="304121"/>
              </a:lnTo>
              <a:lnTo>
                <a:pt x="498433" y="285732"/>
              </a:lnTo>
              <a:lnTo>
                <a:pt x="502860" y="284060"/>
              </a:lnTo>
              <a:lnTo>
                <a:pt x="502860" y="304121"/>
              </a:lnTo>
              <a:lnTo>
                <a:pt x="500647" y="312480"/>
              </a:lnTo>
              <a:lnTo>
                <a:pt x="507288" y="304121"/>
              </a:lnTo>
              <a:lnTo>
                <a:pt x="509502" y="292419"/>
              </a:lnTo>
              <a:lnTo>
                <a:pt x="511715" y="284060"/>
              </a:lnTo>
              <a:lnTo>
                <a:pt x="511715" y="274029"/>
              </a:lnTo>
              <a:lnTo>
                <a:pt x="507288" y="245609"/>
              </a:lnTo>
              <a:lnTo>
                <a:pt x="513929" y="237250"/>
              </a:lnTo>
              <a:lnTo>
                <a:pt x="522784" y="230563"/>
              </a:lnTo>
              <a:lnTo>
                <a:pt x="531639" y="223876"/>
              </a:lnTo>
              <a:lnTo>
                <a:pt x="544921" y="223876"/>
              </a:lnTo>
              <a:lnTo>
                <a:pt x="544921" y="217189"/>
              </a:lnTo>
              <a:lnTo>
                <a:pt x="536066" y="210502"/>
              </a:lnTo>
              <a:lnTo>
                <a:pt x="531639" y="200471"/>
              </a:lnTo>
              <a:lnTo>
                <a:pt x="531639" y="192112"/>
              </a:lnTo>
              <a:lnTo>
                <a:pt x="540494" y="180409"/>
              </a:lnTo>
              <a:lnTo>
                <a:pt x="544921" y="172051"/>
              </a:lnTo>
              <a:lnTo>
                <a:pt x="553776" y="167035"/>
              </a:lnTo>
              <a:close/>
              <a:moveTo>
                <a:pt x="160170" y="0"/>
              </a:moveTo>
              <a:lnTo>
                <a:pt x="164558" y="9931"/>
              </a:lnTo>
              <a:lnTo>
                <a:pt x="171140" y="11587"/>
              </a:lnTo>
              <a:lnTo>
                <a:pt x="186499" y="31449"/>
              </a:lnTo>
              <a:lnTo>
                <a:pt x="184305" y="49656"/>
              </a:lnTo>
              <a:lnTo>
                <a:pt x="186499" y="57932"/>
              </a:lnTo>
              <a:lnTo>
                <a:pt x="190887" y="52967"/>
              </a:lnTo>
              <a:lnTo>
                <a:pt x="193081" y="44691"/>
              </a:lnTo>
              <a:lnTo>
                <a:pt x="201858" y="39725"/>
              </a:lnTo>
              <a:lnTo>
                <a:pt x="210634" y="31449"/>
              </a:lnTo>
              <a:lnTo>
                <a:pt x="204052" y="49656"/>
              </a:lnTo>
              <a:lnTo>
                <a:pt x="208440" y="46346"/>
              </a:lnTo>
              <a:lnTo>
                <a:pt x="212828" y="38070"/>
              </a:lnTo>
              <a:lnTo>
                <a:pt x="221604" y="36415"/>
              </a:lnTo>
              <a:lnTo>
                <a:pt x="241351" y="36415"/>
              </a:lnTo>
              <a:lnTo>
                <a:pt x="250128" y="36415"/>
              </a:lnTo>
              <a:lnTo>
                <a:pt x="258904" y="44691"/>
              </a:lnTo>
              <a:lnTo>
                <a:pt x="267681" y="46346"/>
              </a:lnTo>
              <a:lnTo>
                <a:pt x="272069" y="56277"/>
              </a:lnTo>
              <a:lnTo>
                <a:pt x="289622" y="72829"/>
              </a:lnTo>
              <a:lnTo>
                <a:pt x="294010" y="84416"/>
              </a:lnTo>
              <a:lnTo>
                <a:pt x="304980" y="89381"/>
              </a:lnTo>
              <a:lnTo>
                <a:pt x="313757" y="86071"/>
              </a:lnTo>
              <a:lnTo>
                <a:pt x="333504" y="79450"/>
              </a:lnTo>
              <a:lnTo>
                <a:pt x="342280" y="86071"/>
              </a:lnTo>
              <a:lnTo>
                <a:pt x="353251" y="89381"/>
              </a:lnTo>
              <a:lnTo>
                <a:pt x="362027" y="89381"/>
              </a:lnTo>
              <a:lnTo>
                <a:pt x="368609" y="91036"/>
              </a:lnTo>
              <a:lnTo>
                <a:pt x="383968" y="72829"/>
              </a:lnTo>
              <a:lnTo>
                <a:pt x="401521" y="62898"/>
              </a:lnTo>
              <a:lnTo>
                <a:pt x="410297" y="52967"/>
              </a:lnTo>
              <a:lnTo>
                <a:pt x="425656" y="49656"/>
              </a:lnTo>
              <a:lnTo>
                <a:pt x="434432" y="44691"/>
              </a:lnTo>
              <a:lnTo>
                <a:pt x="471732" y="43035"/>
              </a:lnTo>
              <a:lnTo>
                <a:pt x="480508" y="39725"/>
              </a:lnTo>
              <a:lnTo>
                <a:pt x="498061" y="29794"/>
              </a:lnTo>
              <a:lnTo>
                <a:pt x="506838" y="26483"/>
              </a:lnTo>
              <a:lnTo>
                <a:pt x="524391" y="24828"/>
              </a:lnTo>
              <a:lnTo>
                <a:pt x="524391" y="56277"/>
              </a:lnTo>
              <a:lnTo>
                <a:pt x="528779" y="64553"/>
              </a:lnTo>
              <a:lnTo>
                <a:pt x="546332" y="66208"/>
              </a:lnTo>
              <a:lnTo>
                <a:pt x="566078" y="59587"/>
              </a:lnTo>
              <a:lnTo>
                <a:pt x="570467" y="69519"/>
              </a:lnTo>
              <a:lnTo>
                <a:pt x="579243" y="64553"/>
              </a:lnTo>
              <a:lnTo>
                <a:pt x="585825" y="56277"/>
              </a:lnTo>
              <a:lnTo>
                <a:pt x="592408" y="52967"/>
              </a:lnTo>
              <a:lnTo>
                <a:pt x="601184" y="62898"/>
              </a:lnTo>
              <a:lnTo>
                <a:pt x="605572" y="71174"/>
              </a:lnTo>
              <a:lnTo>
                <a:pt x="609961" y="79450"/>
              </a:lnTo>
              <a:lnTo>
                <a:pt x="609961" y="91036"/>
              </a:lnTo>
              <a:lnTo>
                <a:pt x="618737" y="97657"/>
              </a:lnTo>
              <a:lnTo>
                <a:pt x="620931" y="97657"/>
              </a:lnTo>
              <a:lnTo>
                <a:pt x="629707" y="102623"/>
              </a:lnTo>
              <a:lnTo>
                <a:pt x="629707" y="110899"/>
              </a:lnTo>
              <a:lnTo>
                <a:pt x="640678" y="115864"/>
              </a:lnTo>
              <a:lnTo>
                <a:pt x="645066" y="124140"/>
              </a:lnTo>
              <a:lnTo>
                <a:pt x="636290" y="125796"/>
              </a:lnTo>
              <a:lnTo>
                <a:pt x="594602" y="124140"/>
              </a:lnTo>
              <a:lnTo>
                <a:pt x="585825" y="129106"/>
              </a:lnTo>
              <a:lnTo>
                <a:pt x="577049" y="124140"/>
              </a:lnTo>
              <a:lnTo>
                <a:pt x="568273" y="124140"/>
              </a:lnTo>
              <a:lnTo>
                <a:pt x="566078" y="135727"/>
              </a:lnTo>
              <a:lnTo>
                <a:pt x="566078" y="150624"/>
              </a:lnTo>
              <a:lnTo>
                <a:pt x="557302" y="148969"/>
              </a:lnTo>
              <a:lnTo>
                <a:pt x="537555" y="132417"/>
              </a:lnTo>
              <a:lnTo>
                <a:pt x="517808" y="125796"/>
              </a:lnTo>
              <a:lnTo>
                <a:pt x="509032" y="125796"/>
              </a:lnTo>
              <a:lnTo>
                <a:pt x="500255" y="124140"/>
              </a:lnTo>
              <a:lnTo>
                <a:pt x="482703" y="125796"/>
              </a:lnTo>
              <a:lnTo>
                <a:pt x="476120" y="142348"/>
              </a:lnTo>
              <a:lnTo>
                <a:pt x="467344" y="145658"/>
              </a:lnTo>
              <a:lnTo>
                <a:pt x="456373" y="145658"/>
              </a:lnTo>
              <a:lnTo>
                <a:pt x="438821" y="150624"/>
              </a:lnTo>
              <a:lnTo>
                <a:pt x="430044" y="150624"/>
              </a:lnTo>
              <a:lnTo>
                <a:pt x="421268" y="152279"/>
              </a:lnTo>
              <a:lnTo>
                <a:pt x="414685" y="157245"/>
              </a:lnTo>
              <a:lnTo>
                <a:pt x="408103" y="165521"/>
              </a:lnTo>
              <a:lnTo>
                <a:pt x="408103" y="175452"/>
              </a:lnTo>
              <a:lnTo>
                <a:pt x="397133" y="183728"/>
              </a:lnTo>
              <a:lnTo>
                <a:pt x="388356" y="192004"/>
              </a:lnTo>
              <a:lnTo>
                <a:pt x="383968" y="201935"/>
              </a:lnTo>
              <a:lnTo>
                <a:pt x="375192" y="201935"/>
              </a:lnTo>
              <a:lnTo>
                <a:pt x="379580" y="188694"/>
              </a:lnTo>
              <a:lnTo>
                <a:pt x="388356" y="182073"/>
              </a:lnTo>
              <a:lnTo>
                <a:pt x="388356" y="172141"/>
              </a:lnTo>
              <a:lnTo>
                <a:pt x="379580" y="170486"/>
              </a:lnTo>
              <a:lnTo>
                <a:pt x="370803" y="175452"/>
              </a:lnTo>
              <a:lnTo>
                <a:pt x="362027" y="183728"/>
              </a:lnTo>
              <a:lnTo>
                <a:pt x="359833" y="188694"/>
              </a:lnTo>
              <a:lnTo>
                <a:pt x="351056" y="196970"/>
              </a:lnTo>
              <a:lnTo>
                <a:pt x="346668" y="188694"/>
              </a:lnTo>
              <a:lnTo>
                <a:pt x="342280" y="178762"/>
              </a:lnTo>
              <a:lnTo>
                <a:pt x="346668" y="170486"/>
              </a:lnTo>
              <a:lnTo>
                <a:pt x="337892" y="183728"/>
              </a:lnTo>
              <a:lnTo>
                <a:pt x="335698" y="201935"/>
              </a:lnTo>
              <a:lnTo>
                <a:pt x="326921" y="210211"/>
              </a:lnTo>
              <a:lnTo>
                <a:pt x="322533" y="218487"/>
              </a:lnTo>
              <a:lnTo>
                <a:pt x="315951" y="238350"/>
              </a:lnTo>
              <a:lnTo>
                <a:pt x="302786" y="264833"/>
              </a:lnTo>
              <a:lnTo>
                <a:pt x="294010" y="281385"/>
              </a:lnTo>
              <a:lnTo>
                <a:pt x="294010" y="289661"/>
              </a:lnTo>
              <a:lnTo>
                <a:pt x="289622" y="288006"/>
              </a:lnTo>
              <a:lnTo>
                <a:pt x="280845" y="281385"/>
              </a:lnTo>
              <a:lnTo>
                <a:pt x="280845" y="271454"/>
              </a:lnTo>
              <a:lnTo>
                <a:pt x="285233" y="251591"/>
              </a:lnTo>
              <a:lnTo>
                <a:pt x="276457" y="254902"/>
              </a:lnTo>
              <a:lnTo>
                <a:pt x="267681" y="256557"/>
              </a:lnTo>
              <a:lnTo>
                <a:pt x="263292" y="248281"/>
              </a:lnTo>
              <a:lnTo>
                <a:pt x="267681" y="238350"/>
              </a:lnTo>
              <a:lnTo>
                <a:pt x="267681" y="221798"/>
              </a:lnTo>
              <a:lnTo>
                <a:pt x="263292" y="211866"/>
              </a:lnTo>
              <a:lnTo>
                <a:pt x="267681" y="210211"/>
              </a:lnTo>
              <a:lnTo>
                <a:pt x="256710" y="201935"/>
              </a:lnTo>
              <a:lnTo>
                <a:pt x="243545" y="196970"/>
              </a:lnTo>
              <a:lnTo>
                <a:pt x="234769" y="195314"/>
              </a:lnTo>
              <a:lnTo>
                <a:pt x="232575" y="178762"/>
              </a:lnTo>
              <a:lnTo>
                <a:pt x="223799" y="172141"/>
              </a:lnTo>
              <a:lnTo>
                <a:pt x="199663" y="170486"/>
              </a:lnTo>
              <a:lnTo>
                <a:pt x="190887" y="165521"/>
              </a:lnTo>
              <a:lnTo>
                <a:pt x="182111" y="170486"/>
              </a:lnTo>
              <a:lnTo>
                <a:pt x="164558" y="165521"/>
              </a:lnTo>
              <a:lnTo>
                <a:pt x="160170" y="168831"/>
              </a:lnTo>
              <a:lnTo>
                <a:pt x="129452" y="155589"/>
              </a:lnTo>
              <a:lnTo>
                <a:pt x="32912" y="135727"/>
              </a:lnTo>
              <a:lnTo>
                <a:pt x="21941" y="117520"/>
              </a:lnTo>
              <a:lnTo>
                <a:pt x="13165" y="110899"/>
              </a:lnTo>
              <a:lnTo>
                <a:pt x="4388" y="105933"/>
              </a:lnTo>
              <a:lnTo>
                <a:pt x="0" y="102623"/>
              </a:lnTo>
              <a:lnTo>
                <a:pt x="8777" y="97657"/>
              </a:lnTo>
              <a:lnTo>
                <a:pt x="35106" y="84416"/>
              </a:lnTo>
              <a:lnTo>
                <a:pt x="52659" y="66208"/>
              </a:lnTo>
              <a:lnTo>
                <a:pt x="61435" y="62898"/>
              </a:lnTo>
              <a:lnTo>
                <a:pt x="70211" y="62898"/>
              </a:lnTo>
              <a:lnTo>
                <a:pt x="78988" y="57932"/>
              </a:lnTo>
              <a:lnTo>
                <a:pt x="89958" y="57932"/>
              </a:lnTo>
              <a:lnTo>
                <a:pt x="98735" y="52967"/>
              </a:lnTo>
              <a:lnTo>
                <a:pt x="107511" y="49656"/>
              </a:lnTo>
              <a:lnTo>
                <a:pt x="116288" y="38070"/>
              </a:lnTo>
              <a:lnTo>
                <a:pt x="133840" y="31449"/>
              </a:lnTo>
              <a:lnTo>
                <a:pt x="140423" y="23173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square" anchor="ctr">
          <a:no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A0D358D7-3AC6-46F3-A37F-A345433B3A10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MI
4490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533400</xdr:colOff>
      <xdr:row>9</xdr:row>
      <xdr:rowOff>153761</xdr:rowOff>
    </xdr:from>
    <xdr:to>
      <xdr:col>11</xdr:col>
      <xdr:colOff>156285</xdr:colOff>
      <xdr:row>13</xdr:row>
      <xdr:rowOff>156763</xdr:rowOff>
    </xdr:to>
    <xdr:sp macro="" textlink="data!E45">
      <xdr:nvSpPr>
        <xdr:cNvPr id="270" name="NY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>
          <a:spLocks/>
        </xdr:cNvSpPr>
      </xdr:nvSpPr>
      <xdr:spPr bwMode="auto">
        <a:xfrm>
          <a:off x="6411686" y="1574347"/>
          <a:ext cx="929170" cy="634373"/>
        </a:xfrm>
        <a:custGeom>
          <a:avLst/>
          <a:gdLst>
            <a:gd name="connsiteX0" fmla="*/ 800218 w 842085"/>
            <a:gd name="connsiteY0" fmla="*/ 519512 h 650702"/>
            <a:gd name="connsiteX1" fmla="*/ 791404 w 842085"/>
            <a:gd name="connsiteY1" fmla="*/ 536774 h 650702"/>
            <a:gd name="connsiteX2" fmla="*/ 791404 w 842085"/>
            <a:gd name="connsiteY2" fmla="*/ 547131 h 650702"/>
            <a:gd name="connsiteX3" fmla="*/ 782590 w 842085"/>
            <a:gd name="connsiteY3" fmla="*/ 554036 h 650702"/>
            <a:gd name="connsiteX4" fmla="*/ 775980 w 842085"/>
            <a:gd name="connsiteY4" fmla="*/ 564393 h 650702"/>
            <a:gd name="connsiteX5" fmla="*/ 784794 w 842085"/>
            <a:gd name="connsiteY5" fmla="*/ 564393 h 650702"/>
            <a:gd name="connsiteX6" fmla="*/ 791404 w 842085"/>
            <a:gd name="connsiteY6" fmla="*/ 560940 h 650702"/>
            <a:gd name="connsiteX7" fmla="*/ 802422 w 842085"/>
            <a:gd name="connsiteY7" fmla="*/ 540226 h 650702"/>
            <a:gd name="connsiteX8" fmla="*/ 811236 w 842085"/>
            <a:gd name="connsiteY8" fmla="*/ 536774 h 650702"/>
            <a:gd name="connsiteX9" fmla="*/ 820050 w 842085"/>
            <a:gd name="connsiteY9" fmla="*/ 533322 h 650702"/>
            <a:gd name="connsiteX10" fmla="*/ 822254 w 842085"/>
            <a:gd name="connsiteY10" fmla="*/ 536774 h 650702"/>
            <a:gd name="connsiteX11" fmla="*/ 831068 w 842085"/>
            <a:gd name="connsiteY11" fmla="*/ 531595 h 650702"/>
            <a:gd name="connsiteX12" fmla="*/ 842085 w 842085"/>
            <a:gd name="connsiteY12" fmla="*/ 524691 h 650702"/>
            <a:gd name="connsiteX13" fmla="*/ 828864 w 842085"/>
            <a:gd name="connsiteY13" fmla="*/ 540226 h 650702"/>
            <a:gd name="connsiteX14" fmla="*/ 820050 w 842085"/>
            <a:gd name="connsiteY14" fmla="*/ 547131 h 650702"/>
            <a:gd name="connsiteX15" fmla="*/ 802422 w 842085"/>
            <a:gd name="connsiteY15" fmla="*/ 564393 h 650702"/>
            <a:gd name="connsiteX16" fmla="*/ 791404 w 842085"/>
            <a:gd name="connsiteY16" fmla="*/ 566119 h 650702"/>
            <a:gd name="connsiteX17" fmla="*/ 791404 w 842085"/>
            <a:gd name="connsiteY17" fmla="*/ 573024 h 650702"/>
            <a:gd name="connsiteX18" fmla="*/ 771573 w 842085"/>
            <a:gd name="connsiteY18" fmla="*/ 586833 h 650702"/>
            <a:gd name="connsiteX19" fmla="*/ 762758 w 842085"/>
            <a:gd name="connsiteY19" fmla="*/ 586833 h 650702"/>
            <a:gd name="connsiteX20" fmla="*/ 753944 w 842085"/>
            <a:gd name="connsiteY20" fmla="*/ 595464 h 650702"/>
            <a:gd name="connsiteX21" fmla="*/ 745130 w 842085"/>
            <a:gd name="connsiteY21" fmla="*/ 598917 h 650702"/>
            <a:gd name="connsiteX22" fmla="*/ 725299 w 842085"/>
            <a:gd name="connsiteY22" fmla="*/ 609274 h 650702"/>
            <a:gd name="connsiteX23" fmla="*/ 716485 w 842085"/>
            <a:gd name="connsiteY23" fmla="*/ 614452 h 650702"/>
            <a:gd name="connsiteX24" fmla="*/ 705467 w 842085"/>
            <a:gd name="connsiteY24" fmla="*/ 623083 h 650702"/>
            <a:gd name="connsiteX25" fmla="*/ 701060 w 842085"/>
            <a:gd name="connsiteY25" fmla="*/ 623083 h 650702"/>
            <a:gd name="connsiteX26" fmla="*/ 670211 w 842085"/>
            <a:gd name="connsiteY26" fmla="*/ 642071 h 650702"/>
            <a:gd name="connsiteX27" fmla="*/ 650379 w 842085"/>
            <a:gd name="connsiteY27" fmla="*/ 650702 h 650702"/>
            <a:gd name="connsiteX28" fmla="*/ 661396 w 842085"/>
            <a:gd name="connsiteY28" fmla="*/ 643797 h 650702"/>
            <a:gd name="connsiteX29" fmla="*/ 641565 w 842085"/>
            <a:gd name="connsiteY29" fmla="*/ 648976 h 650702"/>
            <a:gd name="connsiteX30" fmla="*/ 639361 w 842085"/>
            <a:gd name="connsiteY30" fmla="*/ 647250 h 650702"/>
            <a:gd name="connsiteX31" fmla="*/ 639361 w 842085"/>
            <a:gd name="connsiteY31" fmla="*/ 636893 h 650702"/>
            <a:gd name="connsiteX32" fmla="*/ 643768 w 842085"/>
            <a:gd name="connsiteY32" fmla="*/ 626535 h 650702"/>
            <a:gd name="connsiteX33" fmla="*/ 659193 w 842085"/>
            <a:gd name="connsiteY33" fmla="*/ 614452 h 650702"/>
            <a:gd name="connsiteX34" fmla="*/ 661396 w 842085"/>
            <a:gd name="connsiteY34" fmla="*/ 605821 h 650702"/>
            <a:gd name="connsiteX35" fmla="*/ 670211 w 842085"/>
            <a:gd name="connsiteY35" fmla="*/ 607547 h 650702"/>
            <a:gd name="connsiteX36" fmla="*/ 670211 w 842085"/>
            <a:gd name="connsiteY36" fmla="*/ 598917 h 650702"/>
            <a:gd name="connsiteX37" fmla="*/ 679025 w 842085"/>
            <a:gd name="connsiteY37" fmla="*/ 592012 h 650702"/>
            <a:gd name="connsiteX38" fmla="*/ 687839 w 842085"/>
            <a:gd name="connsiteY38" fmla="*/ 592012 h 650702"/>
            <a:gd name="connsiteX39" fmla="*/ 705467 w 842085"/>
            <a:gd name="connsiteY39" fmla="*/ 581655 h 650702"/>
            <a:gd name="connsiteX40" fmla="*/ 714281 w 842085"/>
            <a:gd name="connsiteY40" fmla="*/ 581655 h 650702"/>
            <a:gd name="connsiteX41" fmla="*/ 718688 w 842085"/>
            <a:gd name="connsiteY41" fmla="*/ 573024 h 650702"/>
            <a:gd name="connsiteX42" fmla="*/ 727502 w 842085"/>
            <a:gd name="connsiteY42" fmla="*/ 567845 h 650702"/>
            <a:gd name="connsiteX43" fmla="*/ 753944 w 842085"/>
            <a:gd name="connsiteY43" fmla="*/ 564393 h 650702"/>
            <a:gd name="connsiteX44" fmla="*/ 773776 w 842085"/>
            <a:gd name="connsiteY44" fmla="*/ 554036 h 650702"/>
            <a:gd name="connsiteX45" fmla="*/ 559155 w 842085"/>
            <a:gd name="connsiteY45" fmla="*/ 0 h 650702"/>
            <a:gd name="connsiteX46" fmla="*/ 559155 w 842085"/>
            <a:gd name="connsiteY46" fmla="*/ 5105 h 650702"/>
            <a:gd name="connsiteX47" fmla="*/ 563523 w 842085"/>
            <a:gd name="connsiteY47" fmla="*/ 11911 h 650702"/>
            <a:gd name="connsiteX48" fmla="*/ 561339 w 842085"/>
            <a:gd name="connsiteY48" fmla="*/ 20418 h 650702"/>
            <a:gd name="connsiteX49" fmla="*/ 567892 w 842085"/>
            <a:gd name="connsiteY49" fmla="*/ 32329 h 650702"/>
            <a:gd name="connsiteX50" fmla="*/ 567892 w 842085"/>
            <a:gd name="connsiteY50" fmla="*/ 52748 h 650702"/>
            <a:gd name="connsiteX51" fmla="*/ 572260 w 842085"/>
            <a:gd name="connsiteY51" fmla="*/ 62957 h 650702"/>
            <a:gd name="connsiteX52" fmla="*/ 580997 w 842085"/>
            <a:gd name="connsiteY52" fmla="*/ 73166 h 650702"/>
            <a:gd name="connsiteX53" fmla="*/ 583181 w 842085"/>
            <a:gd name="connsiteY53" fmla="*/ 81674 h 650702"/>
            <a:gd name="connsiteX54" fmla="*/ 583181 w 842085"/>
            <a:gd name="connsiteY54" fmla="*/ 90181 h 650702"/>
            <a:gd name="connsiteX55" fmla="*/ 585365 w 842085"/>
            <a:gd name="connsiteY55" fmla="*/ 100391 h 650702"/>
            <a:gd name="connsiteX56" fmla="*/ 587550 w 842085"/>
            <a:gd name="connsiteY56" fmla="*/ 108898 h 650702"/>
            <a:gd name="connsiteX57" fmla="*/ 583181 w 842085"/>
            <a:gd name="connsiteY57" fmla="*/ 114003 h 650702"/>
            <a:gd name="connsiteX58" fmla="*/ 583181 w 842085"/>
            <a:gd name="connsiteY58" fmla="*/ 134421 h 650702"/>
            <a:gd name="connsiteX59" fmla="*/ 589734 w 842085"/>
            <a:gd name="connsiteY59" fmla="*/ 151437 h 650702"/>
            <a:gd name="connsiteX60" fmla="*/ 594102 w 842085"/>
            <a:gd name="connsiteY60" fmla="*/ 161646 h 650702"/>
            <a:gd name="connsiteX61" fmla="*/ 600655 w 842085"/>
            <a:gd name="connsiteY61" fmla="*/ 178661 h 650702"/>
            <a:gd name="connsiteX62" fmla="*/ 598471 w 842085"/>
            <a:gd name="connsiteY62" fmla="*/ 197378 h 650702"/>
            <a:gd name="connsiteX63" fmla="*/ 602839 w 842085"/>
            <a:gd name="connsiteY63" fmla="*/ 205886 h 650702"/>
            <a:gd name="connsiteX64" fmla="*/ 607207 w 842085"/>
            <a:gd name="connsiteY64" fmla="*/ 195677 h 650702"/>
            <a:gd name="connsiteX65" fmla="*/ 620313 w 842085"/>
            <a:gd name="connsiteY65" fmla="*/ 209289 h 650702"/>
            <a:gd name="connsiteX66" fmla="*/ 639970 w 842085"/>
            <a:gd name="connsiteY66" fmla="*/ 304575 h 650702"/>
            <a:gd name="connsiteX67" fmla="*/ 639970 w 842085"/>
            <a:gd name="connsiteY67" fmla="*/ 307978 h 650702"/>
            <a:gd name="connsiteX68" fmla="*/ 646523 w 842085"/>
            <a:gd name="connsiteY68" fmla="*/ 318187 h 650702"/>
            <a:gd name="connsiteX69" fmla="*/ 644339 w 842085"/>
            <a:gd name="connsiteY69" fmla="*/ 328397 h 650702"/>
            <a:gd name="connsiteX70" fmla="*/ 644339 w 842085"/>
            <a:gd name="connsiteY70" fmla="*/ 420280 h 650702"/>
            <a:gd name="connsiteX71" fmla="*/ 646523 w 842085"/>
            <a:gd name="connsiteY71" fmla="*/ 423683 h 650702"/>
            <a:gd name="connsiteX72" fmla="*/ 666181 w 842085"/>
            <a:gd name="connsiteY72" fmla="*/ 530880 h 650702"/>
            <a:gd name="connsiteX73" fmla="*/ 670549 w 842085"/>
            <a:gd name="connsiteY73" fmla="*/ 539387 h 650702"/>
            <a:gd name="connsiteX74" fmla="*/ 670549 w 842085"/>
            <a:gd name="connsiteY74" fmla="*/ 549596 h 650702"/>
            <a:gd name="connsiteX75" fmla="*/ 657444 w 842085"/>
            <a:gd name="connsiteY75" fmla="*/ 564910 h 650702"/>
            <a:gd name="connsiteX76" fmla="*/ 657444 w 842085"/>
            <a:gd name="connsiteY76" fmla="*/ 570015 h 650702"/>
            <a:gd name="connsiteX77" fmla="*/ 661812 w 842085"/>
            <a:gd name="connsiteY77" fmla="*/ 573418 h 650702"/>
            <a:gd name="connsiteX78" fmla="*/ 666181 w 842085"/>
            <a:gd name="connsiteY78" fmla="*/ 578523 h 650702"/>
            <a:gd name="connsiteX79" fmla="*/ 657444 w 842085"/>
            <a:gd name="connsiteY79" fmla="*/ 598941 h 650702"/>
            <a:gd name="connsiteX80" fmla="*/ 655260 w 842085"/>
            <a:gd name="connsiteY80" fmla="*/ 610852 h 650702"/>
            <a:gd name="connsiteX81" fmla="*/ 646523 w 842085"/>
            <a:gd name="connsiteY81" fmla="*/ 612553 h 650702"/>
            <a:gd name="connsiteX82" fmla="*/ 642155 w 842085"/>
            <a:gd name="connsiteY82" fmla="*/ 624464 h 650702"/>
            <a:gd name="connsiteX83" fmla="*/ 637786 w 842085"/>
            <a:gd name="connsiteY83" fmla="*/ 624464 h 650702"/>
            <a:gd name="connsiteX84" fmla="*/ 642155 w 842085"/>
            <a:gd name="connsiteY84" fmla="*/ 604046 h 650702"/>
            <a:gd name="connsiteX85" fmla="*/ 642155 w 842085"/>
            <a:gd name="connsiteY85" fmla="*/ 590433 h 650702"/>
            <a:gd name="connsiteX86" fmla="*/ 639970 w 842085"/>
            <a:gd name="connsiteY86" fmla="*/ 573418 h 650702"/>
            <a:gd name="connsiteX87" fmla="*/ 635602 w 842085"/>
            <a:gd name="connsiteY87" fmla="*/ 559806 h 650702"/>
            <a:gd name="connsiteX88" fmla="*/ 626865 w 842085"/>
            <a:gd name="connsiteY88" fmla="*/ 553000 h 650702"/>
            <a:gd name="connsiteX89" fmla="*/ 624681 w 842085"/>
            <a:gd name="connsiteY89" fmla="*/ 544492 h 650702"/>
            <a:gd name="connsiteX90" fmla="*/ 622497 w 842085"/>
            <a:gd name="connsiteY90" fmla="*/ 546193 h 650702"/>
            <a:gd name="connsiteX91" fmla="*/ 624681 w 842085"/>
            <a:gd name="connsiteY91" fmla="*/ 556403 h 650702"/>
            <a:gd name="connsiteX92" fmla="*/ 633418 w 842085"/>
            <a:gd name="connsiteY92" fmla="*/ 564910 h 650702"/>
            <a:gd name="connsiteX93" fmla="*/ 639970 w 842085"/>
            <a:gd name="connsiteY93" fmla="*/ 587030 h 650702"/>
            <a:gd name="connsiteX94" fmla="*/ 546050 w 842085"/>
            <a:gd name="connsiteY94" fmla="*/ 556403 h 650702"/>
            <a:gd name="connsiteX95" fmla="*/ 546050 w 842085"/>
            <a:gd name="connsiteY95" fmla="*/ 553000 h 650702"/>
            <a:gd name="connsiteX96" fmla="*/ 535129 w 842085"/>
            <a:gd name="connsiteY96" fmla="*/ 549596 h 650702"/>
            <a:gd name="connsiteX97" fmla="*/ 526392 w 842085"/>
            <a:gd name="connsiteY97" fmla="*/ 546193 h 650702"/>
            <a:gd name="connsiteX98" fmla="*/ 511103 w 842085"/>
            <a:gd name="connsiteY98" fmla="*/ 539387 h 650702"/>
            <a:gd name="connsiteX99" fmla="*/ 502366 w 842085"/>
            <a:gd name="connsiteY99" fmla="*/ 530880 h 650702"/>
            <a:gd name="connsiteX100" fmla="*/ 500182 w 842085"/>
            <a:gd name="connsiteY100" fmla="*/ 522372 h 650702"/>
            <a:gd name="connsiteX101" fmla="*/ 491445 w 842085"/>
            <a:gd name="connsiteY101" fmla="*/ 501953 h 650702"/>
            <a:gd name="connsiteX102" fmla="*/ 482708 w 842085"/>
            <a:gd name="connsiteY102" fmla="*/ 491744 h 650702"/>
            <a:gd name="connsiteX103" fmla="*/ 473971 w 842085"/>
            <a:gd name="connsiteY103" fmla="*/ 495147 h 650702"/>
            <a:gd name="connsiteX104" fmla="*/ 469603 w 842085"/>
            <a:gd name="connsiteY104" fmla="*/ 484938 h 650702"/>
            <a:gd name="connsiteX105" fmla="*/ 460866 w 842085"/>
            <a:gd name="connsiteY105" fmla="*/ 481535 h 650702"/>
            <a:gd name="connsiteX106" fmla="*/ 460866 w 842085"/>
            <a:gd name="connsiteY106" fmla="*/ 478132 h 650702"/>
            <a:gd name="connsiteX107" fmla="*/ 364761 w 842085"/>
            <a:gd name="connsiteY107" fmla="*/ 501953 h 650702"/>
            <a:gd name="connsiteX108" fmla="*/ 220604 w 842085"/>
            <a:gd name="connsiteY108" fmla="*/ 532581 h 650702"/>
            <a:gd name="connsiteX109" fmla="*/ 91737 w 842085"/>
            <a:gd name="connsiteY109" fmla="*/ 559806 h 650702"/>
            <a:gd name="connsiteX110" fmla="*/ 8737 w 842085"/>
            <a:gd name="connsiteY110" fmla="*/ 576821 h 650702"/>
            <a:gd name="connsiteX111" fmla="*/ 2184 w 842085"/>
            <a:gd name="connsiteY111" fmla="*/ 539387 h 650702"/>
            <a:gd name="connsiteX112" fmla="*/ 0 w 842085"/>
            <a:gd name="connsiteY112" fmla="*/ 537686 h 650702"/>
            <a:gd name="connsiteX113" fmla="*/ 4369 w 842085"/>
            <a:gd name="connsiteY113" fmla="*/ 535984 h 650702"/>
            <a:gd name="connsiteX114" fmla="*/ 24026 w 842085"/>
            <a:gd name="connsiteY114" fmla="*/ 512163 h 650702"/>
            <a:gd name="connsiteX115" fmla="*/ 39316 w 842085"/>
            <a:gd name="connsiteY115" fmla="*/ 495147 h 650702"/>
            <a:gd name="connsiteX116" fmla="*/ 50237 w 842085"/>
            <a:gd name="connsiteY116" fmla="*/ 483237 h 650702"/>
            <a:gd name="connsiteX117" fmla="*/ 56789 w 842085"/>
            <a:gd name="connsiteY117" fmla="*/ 474729 h 650702"/>
            <a:gd name="connsiteX118" fmla="*/ 61158 w 842085"/>
            <a:gd name="connsiteY118" fmla="*/ 464520 h 650702"/>
            <a:gd name="connsiteX119" fmla="*/ 78631 w 842085"/>
            <a:gd name="connsiteY119" fmla="*/ 447504 h 650702"/>
            <a:gd name="connsiteX120" fmla="*/ 78631 w 842085"/>
            <a:gd name="connsiteY120" fmla="*/ 435593 h 650702"/>
            <a:gd name="connsiteX121" fmla="*/ 65526 w 842085"/>
            <a:gd name="connsiteY121" fmla="*/ 415175 h 650702"/>
            <a:gd name="connsiteX122" fmla="*/ 69895 w 842085"/>
            <a:gd name="connsiteY122" fmla="*/ 408369 h 650702"/>
            <a:gd name="connsiteX123" fmla="*/ 69895 w 842085"/>
            <a:gd name="connsiteY123" fmla="*/ 406667 h 650702"/>
            <a:gd name="connsiteX124" fmla="*/ 50237 w 842085"/>
            <a:gd name="connsiteY124" fmla="*/ 401563 h 650702"/>
            <a:gd name="connsiteX125" fmla="*/ 52421 w 842085"/>
            <a:gd name="connsiteY125" fmla="*/ 394757 h 650702"/>
            <a:gd name="connsiteX126" fmla="*/ 45868 w 842085"/>
            <a:gd name="connsiteY126" fmla="*/ 376040 h 650702"/>
            <a:gd name="connsiteX127" fmla="*/ 56789 w 842085"/>
            <a:gd name="connsiteY127" fmla="*/ 372637 h 650702"/>
            <a:gd name="connsiteX128" fmla="*/ 65526 w 842085"/>
            <a:gd name="connsiteY128" fmla="*/ 365830 h 650702"/>
            <a:gd name="connsiteX129" fmla="*/ 74263 w 842085"/>
            <a:gd name="connsiteY129" fmla="*/ 362427 h 650702"/>
            <a:gd name="connsiteX130" fmla="*/ 83000 w 842085"/>
            <a:gd name="connsiteY130" fmla="*/ 359024 h 650702"/>
            <a:gd name="connsiteX131" fmla="*/ 102658 w 842085"/>
            <a:gd name="connsiteY131" fmla="*/ 348815 h 650702"/>
            <a:gd name="connsiteX132" fmla="*/ 137605 w 842085"/>
            <a:gd name="connsiteY132" fmla="*/ 342009 h 650702"/>
            <a:gd name="connsiteX133" fmla="*/ 172552 w 842085"/>
            <a:gd name="connsiteY133" fmla="*/ 340307 h 650702"/>
            <a:gd name="connsiteX134" fmla="*/ 196578 w 842085"/>
            <a:gd name="connsiteY134" fmla="*/ 348815 h 650702"/>
            <a:gd name="connsiteX135" fmla="*/ 216236 w 842085"/>
            <a:gd name="connsiteY135" fmla="*/ 340307 h 650702"/>
            <a:gd name="connsiteX136" fmla="*/ 233710 w 842085"/>
            <a:gd name="connsiteY136" fmla="*/ 335203 h 650702"/>
            <a:gd name="connsiteX137" fmla="*/ 251183 w 842085"/>
            <a:gd name="connsiteY137" fmla="*/ 333501 h 650702"/>
            <a:gd name="connsiteX138" fmla="*/ 257736 w 842085"/>
            <a:gd name="connsiteY138" fmla="*/ 335203 h 650702"/>
            <a:gd name="connsiteX139" fmla="*/ 264288 w 842085"/>
            <a:gd name="connsiteY139" fmla="*/ 326695 h 650702"/>
            <a:gd name="connsiteX140" fmla="*/ 273025 w 842085"/>
            <a:gd name="connsiteY140" fmla="*/ 321591 h 650702"/>
            <a:gd name="connsiteX141" fmla="*/ 281762 w 842085"/>
            <a:gd name="connsiteY141" fmla="*/ 313083 h 650702"/>
            <a:gd name="connsiteX142" fmla="*/ 286130 w 842085"/>
            <a:gd name="connsiteY142" fmla="*/ 304575 h 650702"/>
            <a:gd name="connsiteX143" fmla="*/ 297051 w 842085"/>
            <a:gd name="connsiteY143" fmla="*/ 294366 h 650702"/>
            <a:gd name="connsiteX144" fmla="*/ 307972 w 842085"/>
            <a:gd name="connsiteY144" fmla="*/ 284157 h 650702"/>
            <a:gd name="connsiteX145" fmla="*/ 316709 w 842085"/>
            <a:gd name="connsiteY145" fmla="*/ 284157 h 650702"/>
            <a:gd name="connsiteX146" fmla="*/ 323262 w 842085"/>
            <a:gd name="connsiteY146" fmla="*/ 273948 h 650702"/>
            <a:gd name="connsiteX147" fmla="*/ 323262 w 842085"/>
            <a:gd name="connsiteY147" fmla="*/ 263738 h 650702"/>
            <a:gd name="connsiteX148" fmla="*/ 318893 w 842085"/>
            <a:gd name="connsiteY148" fmla="*/ 253529 h 650702"/>
            <a:gd name="connsiteX149" fmla="*/ 318893 w 842085"/>
            <a:gd name="connsiteY149" fmla="*/ 250126 h 650702"/>
            <a:gd name="connsiteX150" fmla="*/ 310156 w 842085"/>
            <a:gd name="connsiteY150" fmla="*/ 229708 h 650702"/>
            <a:gd name="connsiteX151" fmla="*/ 318893 w 842085"/>
            <a:gd name="connsiteY151" fmla="*/ 226304 h 650702"/>
            <a:gd name="connsiteX152" fmla="*/ 318893 w 842085"/>
            <a:gd name="connsiteY152" fmla="*/ 217797 h 650702"/>
            <a:gd name="connsiteX153" fmla="*/ 325446 w 842085"/>
            <a:gd name="connsiteY153" fmla="*/ 209289 h 650702"/>
            <a:gd name="connsiteX154" fmla="*/ 312341 w 842085"/>
            <a:gd name="connsiteY154" fmla="*/ 216095 h 650702"/>
            <a:gd name="connsiteX155" fmla="*/ 312341 w 842085"/>
            <a:gd name="connsiteY155" fmla="*/ 202483 h 650702"/>
            <a:gd name="connsiteX156" fmla="*/ 301420 w 842085"/>
            <a:gd name="connsiteY156" fmla="*/ 205886 h 650702"/>
            <a:gd name="connsiteX157" fmla="*/ 303604 w 842085"/>
            <a:gd name="connsiteY157" fmla="*/ 216095 h 650702"/>
            <a:gd name="connsiteX158" fmla="*/ 301420 w 842085"/>
            <a:gd name="connsiteY158" fmla="*/ 210991 h 650702"/>
            <a:gd name="connsiteX159" fmla="*/ 292683 w 842085"/>
            <a:gd name="connsiteY159" fmla="*/ 202483 h 650702"/>
            <a:gd name="connsiteX160" fmla="*/ 294867 w 842085"/>
            <a:gd name="connsiteY160" fmla="*/ 192274 h 650702"/>
            <a:gd name="connsiteX161" fmla="*/ 312341 w 842085"/>
            <a:gd name="connsiteY161" fmla="*/ 175258 h 650702"/>
            <a:gd name="connsiteX162" fmla="*/ 321077 w 842085"/>
            <a:gd name="connsiteY162" fmla="*/ 168452 h 650702"/>
            <a:gd name="connsiteX163" fmla="*/ 325446 w 842085"/>
            <a:gd name="connsiteY163" fmla="*/ 161646 h 650702"/>
            <a:gd name="connsiteX164" fmla="*/ 338551 w 842085"/>
            <a:gd name="connsiteY164" fmla="*/ 141228 h 650702"/>
            <a:gd name="connsiteX165" fmla="*/ 338551 w 842085"/>
            <a:gd name="connsiteY165" fmla="*/ 129317 h 650702"/>
            <a:gd name="connsiteX166" fmla="*/ 366946 w 842085"/>
            <a:gd name="connsiteY166" fmla="*/ 79972 h 650702"/>
            <a:gd name="connsiteX167" fmla="*/ 399709 w 842085"/>
            <a:gd name="connsiteY167" fmla="*/ 42538 h 650702"/>
            <a:gd name="connsiteX168" fmla="*/ 417182 w 842085"/>
            <a:gd name="connsiteY168" fmla="*/ 34031 h 650702"/>
            <a:gd name="connsiteX169" fmla="*/ 425919 w 842085"/>
            <a:gd name="connsiteY169" fmla="*/ 34031 h 650702"/>
            <a:gd name="connsiteX170" fmla="*/ 489261 w 842085"/>
            <a:gd name="connsiteY170" fmla="*/ 18717 h 65070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</a:cxnLst>
          <a:rect l="l" t="t" r="r" b="b"/>
          <a:pathLst>
            <a:path w="842085" h="650702">
              <a:moveTo>
                <a:pt x="800218" y="519512"/>
              </a:moveTo>
              <a:lnTo>
                <a:pt x="791404" y="536774"/>
              </a:lnTo>
              <a:lnTo>
                <a:pt x="791404" y="547131"/>
              </a:lnTo>
              <a:lnTo>
                <a:pt x="782590" y="554036"/>
              </a:lnTo>
              <a:lnTo>
                <a:pt x="775980" y="564393"/>
              </a:lnTo>
              <a:lnTo>
                <a:pt x="784794" y="564393"/>
              </a:lnTo>
              <a:lnTo>
                <a:pt x="791404" y="560940"/>
              </a:lnTo>
              <a:lnTo>
                <a:pt x="802422" y="540226"/>
              </a:lnTo>
              <a:lnTo>
                <a:pt x="811236" y="536774"/>
              </a:lnTo>
              <a:lnTo>
                <a:pt x="820050" y="533322"/>
              </a:lnTo>
              <a:lnTo>
                <a:pt x="822254" y="536774"/>
              </a:lnTo>
              <a:lnTo>
                <a:pt x="831068" y="531595"/>
              </a:lnTo>
              <a:lnTo>
                <a:pt x="842085" y="524691"/>
              </a:lnTo>
              <a:lnTo>
                <a:pt x="828864" y="540226"/>
              </a:lnTo>
              <a:lnTo>
                <a:pt x="820050" y="547131"/>
              </a:lnTo>
              <a:lnTo>
                <a:pt x="802422" y="564393"/>
              </a:lnTo>
              <a:lnTo>
                <a:pt x="791404" y="566119"/>
              </a:lnTo>
              <a:lnTo>
                <a:pt x="791404" y="573024"/>
              </a:lnTo>
              <a:lnTo>
                <a:pt x="771573" y="586833"/>
              </a:lnTo>
              <a:lnTo>
                <a:pt x="762758" y="586833"/>
              </a:lnTo>
              <a:lnTo>
                <a:pt x="753944" y="595464"/>
              </a:lnTo>
              <a:lnTo>
                <a:pt x="745130" y="598917"/>
              </a:lnTo>
              <a:lnTo>
                <a:pt x="725299" y="609274"/>
              </a:lnTo>
              <a:lnTo>
                <a:pt x="716485" y="614452"/>
              </a:lnTo>
              <a:lnTo>
                <a:pt x="705467" y="623083"/>
              </a:lnTo>
              <a:lnTo>
                <a:pt x="701060" y="623083"/>
              </a:lnTo>
              <a:lnTo>
                <a:pt x="670211" y="642071"/>
              </a:lnTo>
              <a:lnTo>
                <a:pt x="650379" y="650702"/>
              </a:lnTo>
              <a:lnTo>
                <a:pt x="661396" y="643797"/>
              </a:lnTo>
              <a:lnTo>
                <a:pt x="641565" y="648976"/>
              </a:lnTo>
              <a:lnTo>
                <a:pt x="639361" y="647250"/>
              </a:lnTo>
              <a:lnTo>
                <a:pt x="639361" y="636893"/>
              </a:lnTo>
              <a:lnTo>
                <a:pt x="643768" y="626535"/>
              </a:lnTo>
              <a:lnTo>
                <a:pt x="659193" y="614452"/>
              </a:lnTo>
              <a:lnTo>
                <a:pt x="661396" y="605821"/>
              </a:lnTo>
              <a:lnTo>
                <a:pt x="670211" y="607547"/>
              </a:lnTo>
              <a:lnTo>
                <a:pt x="670211" y="598917"/>
              </a:lnTo>
              <a:lnTo>
                <a:pt x="679025" y="592012"/>
              </a:lnTo>
              <a:lnTo>
                <a:pt x="687839" y="592012"/>
              </a:lnTo>
              <a:lnTo>
                <a:pt x="705467" y="581655"/>
              </a:lnTo>
              <a:lnTo>
                <a:pt x="714281" y="581655"/>
              </a:lnTo>
              <a:lnTo>
                <a:pt x="718688" y="573024"/>
              </a:lnTo>
              <a:lnTo>
                <a:pt x="727502" y="567845"/>
              </a:lnTo>
              <a:lnTo>
                <a:pt x="753944" y="564393"/>
              </a:lnTo>
              <a:lnTo>
                <a:pt x="773776" y="554036"/>
              </a:lnTo>
              <a:close/>
              <a:moveTo>
                <a:pt x="559155" y="0"/>
              </a:moveTo>
              <a:lnTo>
                <a:pt x="559155" y="5105"/>
              </a:lnTo>
              <a:lnTo>
                <a:pt x="563523" y="11911"/>
              </a:lnTo>
              <a:lnTo>
                <a:pt x="561339" y="20418"/>
              </a:lnTo>
              <a:lnTo>
                <a:pt x="567892" y="32329"/>
              </a:lnTo>
              <a:lnTo>
                <a:pt x="567892" y="52748"/>
              </a:lnTo>
              <a:lnTo>
                <a:pt x="572260" y="62957"/>
              </a:lnTo>
              <a:lnTo>
                <a:pt x="580997" y="73166"/>
              </a:lnTo>
              <a:lnTo>
                <a:pt x="583181" y="81674"/>
              </a:lnTo>
              <a:lnTo>
                <a:pt x="583181" y="90181"/>
              </a:lnTo>
              <a:lnTo>
                <a:pt x="585365" y="100391"/>
              </a:lnTo>
              <a:lnTo>
                <a:pt x="587550" y="108898"/>
              </a:lnTo>
              <a:lnTo>
                <a:pt x="583181" y="114003"/>
              </a:lnTo>
              <a:lnTo>
                <a:pt x="583181" y="134421"/>
              </a:lnTo>
              <a:lnTo>
                <a:pt x="589734" y="151437"/>
              </a:lnTo>
              <a:lnTo>
                <a:pt x="594102" y="161646"/>
              </a:lnTo>
              <a:lnTo>
                <a:pt x="600655" y="178661"/>
              </a:lnTo>
              <a:lnTo>
                <a:pt x="598471" y="197378"/>
              </a:lnTo>
              <a:lnTo>
                <a:pt x="602839" y="205886"/>
              </a:lnTo>
              <a:lnTo>
                <a:pt x="607207" y="195677"/>
              </a:lnTo>
              <a:lnTo>
                <a:pt x="620313" y="209289"/>
              </a:lnTo>
              <a:lnTo>
                <a:pt x="639970" y="304575"/>
              </a:lnTo>
              <a:lnTo>
                <a:pt x="639970" y="307978"/>
              </a:lnTo>
              <a:lnTo>
                <a:pt x="646523" y="318187"/>
              </a:lnTo>
              <a:lnTo>
                <a:pt x="644339" y="328397"/>
              </a:lnTo>
              <a:lnTo>
                <a:pt x="644339" y="420280"/>
              </a:lnTo>
              <a:lnTo>
                <a:pt x="646523" y="423683"/>
              </a:lnTo>
              <a:lnTo>
                <a:pt x="666181" y="530880"/>
              </a:lnTo>
              <a:lnTo>
                <a:pt x="670549" y="539387"/>
              </a:lnTo>
              <a:lnTo>
                <a:pt x="670549" y="549596"/>
              </a:lnTo>
              <a:lnTo>
                <a:pt x="657444" y="564910"/>
              </a:lnTo>
              <a:lnTo>
                <a:pt x="657444" y="570015"/>
              </a:lnTo>
              <a:lnTo>
                <a:pt x="661812" y="573418"/>
              </a:lnTo>
              <a:lnTo>
                <a:pt x="666181" y="578523"/>
              </a:lnTo>
              <a:lnTo>
                <a:pt x="657444" y="598941"/>
              </a:lnTo>
              <a:lnTo>
                <a:pt x="655260" y="610852"/>
              </a:lnTo>
              <a:lnTo>
                <a:pt x="646523" y="612553"/>
              </a:lnTo>
              <a:lnTo>
                <a:pt x="642155" y="624464"/>
              </a:lnTo>
              <a:lnTo>
                <a:pt x="637786" y="624464"/>
              </a:lnTo>
              <a:lnTo>
                <a:pt x="642155" y="604046"/>
              </a:lnTo>
              <a:lnTo>
                <a:pt x="642155" y="590433"/>
              </a:lnTo>
              <a:lnTo>
                <a:pt x="639970" y="573418"/>
              </a:lnTo>
              <a:lnTo>
                <a:pt x="635602" y="559806"/>
              </a:lnTo>
              <a:lnTo>
                <a:pt x="626865" y="553000"/>
              </a:lnTo>
              <a:lnTo>
                <a:pt x="624681" y="544492"/>
              </a:lnTo>
              <a:lnTo>
                <a:pt x="622497" y="546193"/>
              </a:lnTo>
              <a:lnTo>
                <a:pt x="624681" y="556403"/>
              </a:lnTo>
              <a:lnTo>
                <a:pt x="633418" y="564910"/>
              </a:lnTo>
              <a:lnTo>
                <a:pt x="639970" y="587030"/>
              </a:lnTo>
              <a:lnTo>
                <a:pt x="546050" y="556403"/>
              </a:lnTo>
              <a:lnTo>
                <a:pt x="546050" y="553000"/>
              </a:lnTo>
              <a:lnTo>
                <a:pt x="535129" y="549596"/>
              </a:lnTo>
              <a:lnTo>
                <a:pt x="526392" y="546193"/>
              </a:lnTo>
              <a:lnTo>
                <a:pt x="511103" y="539387"/>
              </a:lnTo>
              <a:lnTo>
                <a:pt x="502366" y="530880"/>
              </a:lnTo>
              <a:lnTo>
                <a:pt x="500182" y="522372"/>
              </a:lnTo>
              <a:lnTo>
                <a:pt x="491445" y="501953"/>
              </a:lnTo>
              <a:lnTo>
                <a:pt x="482708" y="491744"/>
              </a:lnTo>
              <a:lnTo>
                <a:pt x="473971" y="495147"/>
              </a:lnTo>
              <a:lnTo>
                <a:pt x="469603" y="484938"/>
              </a:lnTo>
              <a:lnTo>
                <a:pt x="460866" y="481535"/>
              </a:lnTo>
              <a:lnTo>
                <a:pt x="460866" y="478132"/>
              </a:lnTo>
              <a:lnTo>
                <a:pt x="364761" y="501953"/>
              </a:lnTo>
              <a:lnTo>
                <a:pt x="220604" y="532581"/>
              </a:lnTo>
              <a:lnTo>
                <a:pt x="91737" y="559806"/>
              </a:lnTo>
              <a:lnTo>
                <a:pt x="8737" y="576821"/>
              </a:lnTo>
              <a:lnTo>
                <a:pt x="2184" y="539387"/>
              </a:lnTo>
              <a:lnTo>
                <a:pt x="0" y="537686"/>
              </a:lnTo>
              <a:lnTo>
                <a:pt x="4369" y="535984"/>
              </a:lnTo>
              <a:lnTo>
                <a:pt x="24026" y="512163"/>
              </a:lnTo>
              <a:lnTo>
                <a:pt x="39316" y="495147"/>
              </a:lnTo>
              <a:lnTo>
                <a:pt x="50237" y="483237"/>
              </a:lnTo>
              <a:lnTo>
                <a:pt x="56789" y="474729"/>
              </a:lnTo>
              <a:lnTo>
                <a:pt x="61158" y="464520"/>
              </a:lnTo>
              <a:lnTo>
                <a:pt x="78631" y="447504"/>
              </a:lnTo>
              <a:lnTo>
                <a:pt x="78631" y="435593"/>
              </a:lnTo>
              <a:lnTo>
                <a:pt x="65526" y="415175"/>
              </a:lnTo>
              <a:lnTo>
                <a:pt x="69895" y="408369"/>
              </a:lnTo>
              <a:lnTo>
                <a:pt x="69895" y="406667"/>
              </a:lnTo>
              <a:lnTo>
                <a:pt x="50237" y="401563"/>
              </a:lnTo>
              <a:lnTo>
                <a:pt x="52421" y="394757"/>
              </a:lnTo>
              <a:lnTo>
                <a:pt x="45868" y="376040"/>
              </a:lnTo>
              <a:lnTo>
                <a:pt x="56789" y="372637"/>
              </a:lnTo>
              <a:lnTo>
                <a:pt x="65526" y="365830"/>
              </a:lnTo>
              <a:lnTo>
                <a:pt x="74263" y="362427"/>
              </a:lnTo>
              <a:lnTo>
                <a:pt x="83000" y="359024"/>
              </a:lnTo>
              <a:lnTo>
                <a:pt x="102658" y="348815"/>
              </a:lnTo>
              <a:lnTo>
                <a:pt x="137605" y="342009"/>
              </a:lnTo>
              <a:lnTo>
                <a:pt x="172552" y="340307"/>
              </a:lnTo>
              <a:lnTo>
                <a:pt x="196578" y="348815"/>
              </a:lnTo>
              <a:lnTo>
                <a:pt x="216236" y="340307"/>
              </a:lnTo>
              <a:lnTo>
                <a:pt x="233710" y="335203"/>
              </a:lnTo>
              <a:lnTo>
                <a:pt x="251183" y="333501"/>
              </a:lnTo>
              <a:lnTo>
                <a:pt x="257736" y="335203"/>
              </a:lnTo>
              <a:lnTo>
                <a:pt x="264288" y="326695"/>
              </a:lnTo>
              <a:lnTo>
                <a:pt x="273025" y="321591"/>
              </a:lnTo>
              <a:lnTo>
                <a:pt x="281762" y="313083"/>
              </a:lnTo>
              <a:lnTo>
                <a:pt x="286130" y="304575"/>
              </a:lnTo>
              <a:lnTo>
                <a:pt x="297051" y="294366"/>
              </a:lnTo>
              <a:lnTo>
                <a:pt x="307972" y="284157"/>
              </a:lnTo>
              <a:lnTo>
                <a:pt x="316709" y="284157"/>
              </a:lnTo>
              <a:lnTo>
                <a:pt x="323262" y="273948"/>
              </a:lnTo>
              <a:lnTo>
                <a:pt x="323262" y="263738"/>
              </a:lnTo>
              <a:lnTo>
                <a:pt x="318893" y="253529"/>
              </a:lnTo>
              <a:lnTo>
                <a:pt x="318893" y="250126"/>
              </a:lnTo>
              <a:lnTo>
                <a:pt x="310156" y="229708"/>
              </a:lnTo>
              <a:lnTo>
                <a:pt x="318893" y="226304"/>
              </a:lnTo>
              <a:lnTo>
                <a:pt x="318893" y="217797"/>
              </a:lnTo>
              <a:lnTo>
                <a:pt x="325446" y="209289"/>
              </a:lnTo>
              <a:lnTo>
                <a:pt x="312341" y="216095"/>
              </a:lnTo>
              <a:lnTo>
                <a:pt x="312341" y="202483"/>
              </a:lnTo>
              <a:lnTo>
                <a:pt x="301420" y="205886"/>
              </a:lnTo>
              <a:lnTo>
                <a:pt x="303604" y="216095"/>
              </a:lnTo>
              <a:lnTo>
                <a:pt x="301420" y="210991"/>
              </a:lnTo>
              <a:lnTo>
                <a:pt x="292683" y="202483"/>
              </a:lnTo>
              <a:lnTo>
                <a:pt x="294867" y="192274"/>
              </a:lnTo>
              <a:lnTo>
                <a:pt x="312341" y="175258"/>
              </a:lnTo>
              <a:lnTo>
                <a:pt x="321077" y="168452"/>
              </a:lnTo>
              <a:lnTo>
                <a:pt x="325446" y="161646"/>
              </a:lnTo>
              <a:lnTo>
                <a:pt x="338551" y="141228"/>
              </a:lnTo>
              <a:lnTo>
                <a:pt x="338551" y="129317"/>
              </a:lnTo>
              <a:lnTo>
                <a:pt x="366946" y="79972"/>
              </a:lnTo>
              <a:lnTo>
                <a:pt x="399709" y="42538"/>
              </a:lnTo>
              <a:lnTo>
                <a:pt x="417182" y="34031"/>
              </a:lnTo>
              <a:lnTo>
                <a:pt x="425919" y="34031"/>
              </a:lnTo>
              <a:lnTo>
                <a:pt x="489261" y="18717"/>
              </a:lnTo>
              <a:close/>
            </a:path>
          </a:pathLst>
        </a:custGeom>
        <a:solidFill>
          <a:srgbClr val="FDCC8A"/>
        </a:solidFill>
        <a:ln w="9525">
          <a:solidFill>
            <a:srgbClr val="FFFFFF"/>
          </a:solidFill>
          <a:prstDash val="solid"/>
          <a:round/>
          <a:headEnd/>
          <a:tailEnd/>
        </a:ln>
      </xdr:spPr>
      <xdr:txBody>
        <a:bodyPr wrap="square" anchor="ctr">
          <a:no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48747F1D-2EBE-456D-BAF7-0FCCA32ECF34}" type="TxLink">
            <a:rPr lang="en-US" alt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NY
3519</a:t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82"/>
  <sheetViews>
    <sheetView showGridLines="0" tabSelected="1" zoomScale="85" zoomScaleNormal="85" workbookViewId="0">
      <selection activeCell="C19" sqref="C19"/>
    </sheetView>
  </sheetViews>
  <sheetFormatPr defaultRowHeight="12.45" x14ac:dyDescent="0.3"/>
  <cols>
    <col min="2" max="2" width="16.4609375" customWidth="1"/>
    <col min="3" max="3" width="9.15234375" customWidth="1"/>
    <col min="4" max="4" width="9.23046875" hidden="1" customWidth="1"/>
    <col min="5" max="5" width="5.3046875" hidden="1" customWidth="1"/>
    <col min="6" max="6" width="7.07421875" customWidth="1"/>
    <col min="7" max="7" width="10.3046875" customWidth="1"/>
    <col min="9" max="9" width="2.3828125" customWidth="1"/>
    <col min="10" max="10" width="12.53515625" bestFit="1" customWidth="1"/>
    <col min="23" max="25" width="2.3828125" customWidth="1"/>
    <col min="26" max="49" width="2.3828125" hidden="1" customWidth="1"/>
    <col min="50" max="50" width="2.3046875" hidden="1" customWidth="1"/>
    <col min="51" max="83" width="2.3828125" hidden="1" customWidth="1"/>
    <col min="84" max="84" width="4.84375" hidden="1" customWidth="1"/>
    <col min="85" max="85" width="2.3828125" customWidth="1"/>
    <col min="86" max="86" width="9.23046875" customWidth="1"/>
  </cols>
  <sheetData>
    <row r="1" spans="1:84" ht="14.6" customHeight="1" x14ac:dyDescent="0.3">
      <c r="B1" s="403"/>
      <c r="C1" s="403"/>
      <c r="D1" s="403"/>
      <c r="E1" s="403"/>
      <c r="F1" s="403"/>
      <c r="G1" s="420" t="s">
        <v>159</v>
      </c>
      <c r="H1" s="420"/>
      <c r="Q1" s="403"/>
    </row>
    <row r="2" spans="1:84" ht="15" x14ac:dyDescent="0.3">
      <c r="B2" s="403"/>
      <c r="C2" s="403"/>
      <c r="D2" s="403"/>
      <c r="E2" s="403"/>
      <c r="F2" s="403"/>
      <c r="G2" s="411" t="s">
        <v>130</v>
      </c>
      <c r="H2" s="412">
        <f>QUARTILE($C$11:$C$63,0)</f>
        <v>0</v>
      </c>
      <c r="Q2" s="403"/>
      <c r="S2" s="213" t="s">
        <v>10</v>
      </c>
    </row>
    <row r="3" spans="1:84" x14ac:dyDescent="0.3">
      <c r="G3" s="411" t="s">
        <v>160</v>
      </c>
      <c r="H3" s="412">
        <f>QUARTILE($C$11:$C$63,1)</f>
        <v>3591</v>
      </c>
      <c r="K3" s="373"/>
      <c r="S3" s="213" t="s">
        <v>11</v>
      </c>
    </row>
    <row r="4" spans="1:84" x14ac:dyDescent="0.3">
      <c r="G4" s="411" t="s">
        <v>161</v>
      </c>
      <c r="H4" s="412">
        <f>QUARTILE($C$11:$C$63,2)</f>
        <v>4922</v>
      </c>
      <c r="S4" s="213" t="s">
        <v>12</v>
      </c>
    </row>
    <row r="5" spans="1:84" x14ac:dyDescent="0.3">
      <c r="G5" s="411" t="s">
        <v>162</v>
      </c>
      <c r="H5" s="412">
        <f>QUARTILE($C$11:$C$63,3)</f>
        <v>6176</v>
      </c>
      <c r="S5" s="213" t="s">
        <v>13</v>
      </c>
    </row>
    <row r="6" spans="1:84" x14ac:dyDescent="0.3">
      <c r="G6" s="411" t="s">
        <v>131</v>
      </c>
      <c r="H6" s="412">
        <f>QUARTILE($C$11:$C$63,4)</f>
        <v>11408</v>
      </c>
      <c r="S6" s="213" t="s">
        <v>14</v>
      </c>
    </row>
    <row r="7" spans="1:84" x14ac:dyDescent="0.3">
      <c r="J7" s="370">
        <v>10</v>
      </c>
      <c r="O7" s="371" t="b">
        <v>1</v>
      </c>
      <c r="Q7" s="371" t="b">
        <v>1</v>
      </c>
      <c r="S7" s="213" t="s">
        <v>15</v>
      </c>
    </row>
    <row r="8" spans="1:84" x14ac:dyDescent="0.3">
      <c r="B8" s="1" t="s">
        <v>8</v>
      </c>
      <c r="C8" s="1" t="s">
        <v>21</v>
      </c>
      <c r="G8" s="1" t="s">
        <v>17</v>
      </c>
      <c r="I8" s="1" t="s">
        <v>16</v>
      </c>
      <c r="L8" s="1" t="s">
        <v>18</v>
      </c>
      <c r="R8" s="402" t="s">
        <v>155</v>
      </c>
      <c r="S8" s="372" t="s">
        <v>9</v>
      </c>
    </row>
    <row r="10" spans="1:84" s="385" customFormat="1" x14ac:dyDescent="0.3">
      <c r="A10" s="388" t="s">
        <v>127</v>
      </c>
      <c r="B10" s="386" t="s">
        <v>128</v>
      </c>
      <c r="C10" s="386" t="s">
        <v>0</v>
      </c>
      <c r="D10" s="387" t="s">
        <v>1</v>
      </c>
      <c r="E10" s="387" t="s">
        <v>2</v>
      </c>
      <c r="G10" s="388" t="s">
        <v>25</v>
      </c>
      <c r="I10" s="388" t="s">
        <v>26</v>
      </c>
      <c r="J10" s="389"/>
      <c r="AA10" s="390">
        <v>1</v>
      </c>
      <c r="AB10" s="390">
        <v>2</v>
      </c>
      <c r="AC10" s="390">
        <v>3</v>
      </c>
      <c r="AD10" s="390">
        <v>4</v>
      </c>
      <c r="AE10" s="390">
        <v>5</v>
      </c>
      <c r="AF10" s="390">
        <v>6</v>
      </c>
      <c r="AG10" s="390">
        <v>7</v>
      </c>
      <c r="AH10" s="390">
        <v>8</v>
      </c>
      <c r="AI10" s="390">
        <v>9</v>
      </c>
      <c r="AJ10" s="390">
        <v>10</v>
      </c>
      <c r="AK10" s="390">
        <v>11</v>
      </c>
      <c r="AL10" s="390">
        <v>12</v>
      </c>
      <c r="AM10" s="390">
        <v>13</v>
      </c>
      <c r="AN10" s="390">
        <v>14</v>
      </c>
      <c r="AO10" s="390">
        <v>15</v>
      </c>
      <c r="AP10" s="390">
        <v>16</v>
      </c>
      <c r="AQ10" s="390">
        <v>17</v>
      </c>
      <c r="AR10" s="390">
        <v>18</v>
      </c>
      <c r="AS10" s="390">
        <v>19</v>
      </c>
      <c r="AT10" s="390">
        <v>20</v>
      </c>
      <c r="AU10" s="390">
        <v>21</v>
      </c>
      <c r="AV10" s="390">
        <v>22</v>
      </c>
      <c r="AW10" s="390">
        <v>23</v>
      </c>
      <c r="AX10" s="390">
        <v>24</v>
      </c>
      <c r="AY10" s="390">
        <v>25</v>
      </c>
      <c r="AZ10" s="390">
        <v>26</v>
      </c>
      <c r="BA10" s="390">
        <v>27</v>
      </c>
      <c r="BB10" s="390">
        <v>28</v>
      </c>
      <c r="BC10" s="390">
        <v>29</v>
      </c>
      <c r="BD10" s="390">
        <v>30</v>
      </c>
      <c r="BE10" s="390">
        <v>31</v>
      </c>
      <c r="BF10" s="390">
        <v>32</v>
      </c>
      <c r="BG10" s="390">
        <v>33</v>
      </c>
      <c r="BH10" s="390">
        <v>34</v>
      </c>
      <c r="BI10" s="390">
        <v>35</v>
      </c>
      <c r="BJ10" s="390">
        <v>36</v>
      </c>
      <c r="BK10" s="390">
        <v>37</v>
      </c>
      <c r="BL10" s="390">
        <v>38</v>
      </c>
      <c r="BM10" s="390">
        <v>39</v>
      </c>
      <c r="BN10" s="390">
        <v>40</v>
      </c>
      <c r="BO10" s="390">
        <v>41</v>
      </c>
      <c r="BP10" s="390">
        <v>42</v>
      </c>
      <c r="BQ10" s="390">
        <v>43</v>
      </c>
      <c r="BR10" s="390">
        <v>44</v>
      </c>
      <c r="BS10" s="390">
        <v>45</v>
      </c>
      <c r="BT10" s="390">
        <v>46</v>
      </c>
      <c r="BU10" s="390">
        <v>47</v>
      </c>
      <c r="BV10" s="390">
        <v>48</v>
      </c>
      <c r="BW10" s="390">
        <v>49</v>
      </c>
      <c r="BX10" s="390">
        <v>50</v>
      </c>
      <c r="BY10" s="390">
        <v>51</v>
      </c>
      <c r="BZ10" s="390">
        <v>52</v>
      </c>
      <c r="CA10" s="390">
        <v>53</v>
      </c>
      <c r="CB10" s="390">
        <v>54</v>
      </c>
      <c r="CC10" s="390">
        <v>55</v>
      </c>
      <c r="CD10" s="390">
        <v>56</v>
      </c>
      <c r="CE10" s="390">
        <v>57</v>
      </c>
      <c r="CF10" s="390">
        <v>58</v>
      </c>
    </row>
    <row r="11" spans="1:84" x14ac:dyDescent="0.3">
      <c r="A11" t="s">
        <v>27</v>
      </c>
      <c r="B11" t="s">
        <v>28</v>
      </c>
      <c r="C11" s="392">
        <v>5064</v>
      </c>
      <c r="D11" s="383" t="str">
        <f t="shared" ref="D11:D44" si="0">VLOOKUP(C11,color_table,2,1)</f>
        <v>color3</v>
      </c>
      <c r="E11" s="383" t="str">
        <f t="shared" ref="E11:E42" si="1">IF(show_province,A11,"")&amp;IF(AND(show_province,show_numbers),CHAR(10),"")&amp;IF(show_numbers,TEXT(C11,numbers_format),"")</f>
        <v>AK
5064</v>
      </c>
      <c r="G11" s="380">
        <v>0</v>
      </c>
      <c r="H11" s="384" t="s">
        <v>3</v>
      </c>
      <c r="I11" s="406"/>
      <c r="J11" s="391" t="str">
        <f>IF(AND(ISBLANK(G11),ISBLANK(G12)),"",CONCATENATE("[",TEXT(G11,numbers_format)," ,",IF(ISBLANK(G12),"",TEXT(G12,numbers_format)),")"))</f>
        <v>[0 ,2500)</v>
      </c>
      <c r="AA11" s="214"/>
      <c r="AB11" s="214"/>
      <c r="AC11" s="215"/>
      <c r="AD11" s="216"/>
      <c r="AE11" s="217"/>
      <c r="AF11" s="218"/>
      <c r="AG11" s="216"/>
      <c r="AH11" s="219"/>
      <c r="AI11" s="218"/>
      <c r="AJ11" s="220"/>
      <c r="AK11" s="221"/>
      <c r="AL11" s="222"/>
      <c r="AM11" s="223"/>
      <c r="AN11" s="224"/>
      <c r="AO11" s="225"/>
      <c r="AP11" s="226"/>
      <c r="AQ11" s="227"/>
      <c r="AR11" s="228"/>
      <c r="AS11" s="229"/>
      <c r="AT11" s="230"/>
      <c r="AU11" s="231"/>
      <c r="AV11" s="232"/>
      <c r="AW11" s="233"/>
      <c r="AX11" s="233"/>
      <c r="AY11" s="234"/>
      <c r="AZ11" s="234"/>
      <c r="BA11" s="234"/>
      <c r="BB11" s="235"/>
      <c r="BC11" s="236"/>
      <c r="BD11" s="237"/>
      <c r="BE11" s="238"/>
      <c r="BF11" s="239"/>
      <c r="BG11" s="240"/>
      <c r="BH11" s="241"/>
      <c r="BI11" s="242"/>
      <c r="BJ11" s="4"/>
      <c r="BK11" s="194"/>
      <c r="BL11" s="195"/>
      <c r="BM11" s="196"/>
      <c r="BN11" s="197"/>
      <c r="BO11" s="198"/>
      <c r="BP11" s="199"/>
      <c r="BQ11" s="200"/>
      <c r="BR11" s="201"/>
      <c r="BS11" s="202"/>
      <c r="BT11" s="203"/>
      <c r="BU11" s="203"/>
      <c r="BV11" s="171"/>
      <c r="BW11" s="204"/>
      <c r="BX11" s="171"/>
      <c r="BY11" s="207"/>
      <c r="BZ11" s="208"/>
      <c r="CA11" s="209"/>
      <c r="CB11" s="210"/>
      <c r="CC11" s="211"/>
      <c r="CD11" s="212"/>
      <c r="CE11" s="205"/>
      <c r="CF11" s="206"/>
    </row>
    <row r="12" spans="1:84" x14ac:dyDescent="0.3">
      <c r="A12" t="s">
        <v>29</v>
      </c>
      <c r="B12" t="s">
        <v>30</v>
      </c>
      <c r="C12" s="392">
        <v>5732</v>
      </c>
      <c r="D12" s="383" t="str">
        <f t="shared" si="0"/>
        <v>color3</v>
      </c>
      <c r="E12" s="383" t="str">
        <f t="shared" si="1"/>
        <v>AL
5732</v>
      </c>
      <c r="G12" s="381">
        <v>2500</v>
      </c>
      <c r="H12" s="384" t="s">
        <v>4</v>
      </c>
      <c r="I12" s="407"/>
      <c r="J12" s="391" t="str">
        <f>IF(AND(ISBLANK(G12),ISBLANK(G13)),"",CONCATENATE("[",TEXT(G12,numbers_format)," ,",IF(ISBLANK(G13),"",TEXT(G13,numbers_format)),")"))</f>
        <v>[2500 ,5000)</v>
      </c>
      <c r="AA12" s="243"/>
      <c r="AB12" s="244"/>
      <c r="AC12" s="245"/>
      <c r="AD12" s="246"/>
      <c r="AE12" s="247"/>
      <c r="AF12" s="247"/>
      <c r="AG12" s="248"/>
      <c r="AH12" s="249"/>
      <c r="AI12" s="250"/>
      <c r="AJ12" s="251"/>
      <c r="AK12" s="252"/>
      <c r="AL12" s="253"/>
      <c r="AM12" s="254"/>
      <c r="AN12" s="255"/>
      <c r="AO12" s="256"/>
      <c r="AP12" s="257"/>
      <c r="AQ12" s="258"/>
      <c r="AR12" s="259"/>
      <c r="AS12" s="260"/>
      <c r="AT12" s="261"/>
      <c r="AU12" s="262"/>
      <c r="AV12" s="263"/>
      <c r="AW12" s="264"/>
      <c r="AX12" s="264"/>
      <c r="AY12" s="265"/>
      <c r="AZ12" s="265"/>
      <c r="BA12" s="265"/>
      <c r="BB12" s="266"/>
      <c r="BC12" s="248"/>
      <c r="BD12" s="267"/>
      <c r="BE12" s="268"/>
      <c r="BF12" s="269"/>
      <c r="BG12" s="270"/>
      <c r="BH12" s="271"/>
      <c r="BI12" s="272"/>
      <c r="BJ12" s="5"/>
      <c r="BK12" s="6"/>
      <c r="BL12" s="7"/>
      <c r="BM12" s="8"/>
      <c r="BN12" s="9"/>
      <c r="BO12" s="10"/>
      <c r="BP12" s="11"/>
      <c r="BQ12" s="12"/>
      <c r="BR12" s="13"/>
      <c r="BS12" s="14"/>
      <c r="BT12" s="15"/>
      <c r="BU12" s="15"/>
      <c r="BV12" s="16"/>
      <c r="BW12" s="17"/>
      <c r="BX12" s="16"/>
      <c r="BY12" s="20"/>
      <c r="BZ12" s="21"/>
      <c r="CA12" s="22"/>
      <c r="CB12" s="23"/>
      <c r="CC12" s="24"/>
      <c r="CD12" s="25"/>
      <c r="CE12" s="18"/>
      <c r="CF12" s="19"/>
    </row>
    <row r="13" spans="1:84" x14ac:dyDescent="0.3">
      <c r="A13" t="s">
        <v>31</v>
      </c>
      <c r="B13" t="s">
        <v>32</v>
      </c>
      <c r="C13" s="392">
        <v>5861</v>
      </c>
      <c r="D13" s="383" t="str">
        <f t="shared" si="0"/>
        <v>color3</v>
      </c>
      <c r="E13" s="383" t="str">
        <f t="shared" si="1"/>
        <v>AR
5861</v>
      </c>
      <c r="G13" s="381">
        <v>5000</v>
      </c>
      <c r="H13" s="384" t="s">
        <v>5</v>
      </c>
      <c r="I13" s="408"/>
      <c r="J13" s="391" t="str">
        <f>IF(AND(ISBLANK(G13),ISBLANK(G14)),"",CONCATENATE("[",TEXT(G13,numbers_format)," ,",IF(ISBLANK(G14),"",TEXT(G14,numbers_format)),")"))</f>
        <v>[5000 ,7500)</v>
      </c>
      <c r="AA13" s="273"/>
      <c r="AB13" s="274"/>
      <c r="AC13" s="275"/>
      <c r="AD13" s="276"/>
      <c r="AE13" s="277"/>
      <c r="AF13" s="278"/>
      <c r="AG13" s="279"/>
      <c r="AH13" s="280"/>
      <c r="AI13" s="281"/>
      <c r="AJ13" s="282"/>
      <c r="AK13" s="283"/>
      <c r="AL13" s="284"/>
      <c r="AM13" s="285"/>
      <c r="AN13" s="286"/>
      <c r="AO13" s="287"/>
      <c r="AP13" s="283"/>
      <c r="AQ13" s="288"/>
      <c r="AR13" s="289"/>
      <c r="AS13" s="228"/>
      <c r="AT13" s="290"/>
      <c r="AU13" s="228"/>
      <c r="AV13" s="228"/>
      <c r="AW13" s="228"/>
      <c r="AX13" s="291"/>
      <c r="AY13" s="292"/>
      <c r="AZ13" s="292"/>
      <c r="BA13" s="292"/>
      <c r="BB13" s="293"/>
      <c r="BC13" s="294"/>
      <c r="BD13" s="295"/>
      <c r="BE13" s="296"/>
      <c r="BF13" s="297"/>
      <c r="BG13" s="298"/>
      <c r="BH13" s="299"/>
      <c r="BI13" s="300"/>
      <c r="BJ13" s="26"/>
      <c r="BK13" s="27"/>
      <c r="BL13" s="28"/>
      <c r="BM13" s="29"/>
      <c r="BN13" s="30"/>
      <c r="BO13" s="31"/>
      <c r="BP13" s="32"/>
      <c r="BQ13" s="33"/>
      <c r="BR13" s="34"/>
      <c r="BS13" s="35"/>
      <c r="BT13" s="36"/>
      <c r="BU13" s="36"/>
      <c r="BV13" s="37"/>
      <c r="BW13" s="37"/>
      <c r="BX13" s="37"/>
      <c r="BY13" s="40"/>
      <c r="BZ13" s="41"/>
      <c r="CA13" s="42"/>
      <c r="CB13" s="43"/>
      <c r="CC13" s="44"/>
      <c r="CD13" s="45"/>
      <c r="CE13" s="38"/>
      <c r="CF13" s="39"/>
    </row>
    <row r="14" spans="1:84" x14ac:dyDescent="0.3">
      <c r="A14" t="s">
        <v>33</v>
      </c>
      <c r="B14" t="s">
        <v>136</v>
      </c>
      <c r="C14" s="392">
        <v>5335</v>
      </c>
      <c r="D14" s="383" t="str">
        <f t="shared" si="0"/>
        <v>color3</v>
      </c>
      <c r="E14" s="383" t="str">
        <f t="shared" si="1"/>
        <v>AZ
5335</v>
      </c>
      <c r="G14" s="381">
        <v>7500</v>
      </c>
      <c r="H14" s="384" t="s">
        <v>6</v>
      </c>
      <c r="I14" s="409"/>
      <c r="J14" s="391" t="str">
        <f>IF(AND(ISBLANK(G14),ISBLANK(G15)),"",CONCATENATE("[",TEXT(G14,numbers_format)," ,",IF(ISBLANK(G15),"",TEXT(G15,numbers_format)),")"))</f>
        <v>[7500 ,10000)</v>
      </c>
      <c r="AA14" s="301"/>
      <c r="AB14" s="302"/>
      <c r="AC14" s="303"/>
      <c r="AD14" s="304"/>
      <c r="AE14" s="305"/>
      <c r="AF14" s="306"/>
      <c r="AG14" s="307"/>
      <c r="AH14" s="308"/>
      <c r="AI14" s="309"/>
      <c r="AJ14" s="310"/>
      <c r="AK14" s="311"/>
      <c r="AL14" s="312"/>
      <c r="AM14" s="313"/>
      <c r="AN14" s="314"/>
      <c r="AO14" s="301"/>
      <c r="AP14" s="315"/>
      <c r="AQ14" s="316"/>
      <c r="AR14" s="317"/>
      <c r="AS14" s="318"/>
      <c r="AT14" s="319"/>
      <c r="AU14" s="320"/>
      <c r="AV14" s="321"/>
      <c r="AW14" s="322"/>
      <c r="AX14" s="323"/>
      <c r="AY14" s="324"/>
      <c r="AZ14" s="325"/>
      <c r="BA14" s="326"/>
      <c r="BB14" s="327"/>
      <c r="BC14" s="328"/>
      <c r="BD14" s="329"/>
      <c r="BE14" s="330"/>
      <c r="BF14" s="331"/>
      <c r="BG14" s="332"/>
      <c r="BH14" s="333"/>
      <c r="BI14" s="334"/>
      <c r="BJ14" s="46"/>
      <c r="BK14" s="47"/>
      <c r="BL14" s="48"/>
      <c r="BM14" s="49"/>
      <c r="BN14" s="50"/>
      <c r="BO14" s="51"/>
      <c r="BP14" s="52"/>
      <c r="BQ14" s="53"/>
      <c r="BR14" s="54"/>
      <c r="BS14" s="55"/>
      <c r="BT14" s="56"/>
      <c r="BU14" s="56"/>
      <c r="BV14" s="57"/>
      <c r="BW14" s="57"/>
      <c r="BX14" s="57"/>
      <c r="BY14" s="60"/>
      <c r="BZ14" s="61"/>
      <c r="CA14" s="62"/>
      <c r="CB14" s="63"/>
      <c r="CC14" s="64"/>
      <c r="CD14" s="65"/>
      <c r="CE14" s="58"/>
      <c r="CF14" s="59"/>
    </row>
    <row r="15" spans="1:84" x14ac:dyDescent="0.3">
      <c r="A15" t="s">
        <v>34</v>
      </c>
      <c r="B15" t="s">
        <v>148</v>
      </c>
      <c r="C15" s="392">
        <v>3591</v>
      </c>
      <c r="D15" s="383" t="str">
        <f t="shared" si="0"/>
        <v>color2</v>
      </c>
      <c r="E15" s="383" t="str">
        <f t="shared" si="1"/>
        <v>CA
3591</v>
      </c>
      <c r="G15" s="382">
        <v>10000</v>
      </c>
      <c r="H15" s="384" t="s">
        <v>7</v>
      </c>
      <c r="I15" s="410"/>
      <c r="J15" s="391" t="str">
        <f>IF(AND(ISBLANK(G15),ISBLANK(G16)),"",CONCATENATE("[",TEXT(G15,numbers_format)," , ",IF(ISBLANK(G16),"",TEXT(G16,numbers_format))))</f>
        <v xml:space="preserve">[10000 , </v>
      </c>
      <c r="AA15" s="335"/>
      <c r="AB15" s="336"/>
      <c r="AC15" s="337"/>
      <c r="AD15" s="338"/>
      <c r="AE15" s="339"/>
      <c r="AF15" s="340"/>
      <c r="AG15" s="341"/>
      <c r="AH15" s="342"/>
      <c r="AI15" s="343"/>
      <c r="AJ15" s="344"/>
      <c r="AK15" s="345"/>
      <c r="AL15" s="346"/>
      <c r="AM15" s="347"/>
      <c r="AN15" s="348"/>
      <c r="AO15" s="338"/>
      <c r="AP15" s="349"/>
      <c r="AQ15" s="350"/>
      <c r="AR15" s="351"/>
      <c r="AS15" s="352"/>
      <c r="AT15" s="353"/>
      <c r="AU15" s="354"/>
      <c r="AV15" s="355"/>
      <c r="AW15" s="356"/>
      <c r="AX15" s="357"/>
      <c r="AY15" s="358"/>
      <c r="AZ15" s="359"/>
      <c r="BA15" s="360"/>
      <c r="BB15" s="361"/>
      <c r="BC15" s="362"/>
      <c r="BD15" s="363"/>
      <c r="BE15" s="364"/>
      <c r="BF15" s="365"/>
      <c r="BG15" s="366"/>
      <c r="BH15" s="367"/>
      <c r="BI15" s="368"/>
      <c r="BJ15" s="66"/>
      <c r="BK15" s="67"/>
      <c r="BL15" s="68"/>
      <c r="BM15" s="69"/>
      <c r="BN15" s="70"/>
      <c r="BO15" s="71"/>
      <c r="BP15" s="72"/>
      <c r="BQ15" s="73"/>
      <c r="BR15" s="74"/>
      <c r="BS15" s="75"/>
      <c r="BT15" s="76"/>
      <c r="BU15" s="76"/>
      <c r="BV15" s="77"/>
      <c r="BW15" s="78"/>
      <c r="BX15" s="78"/>
      <c r="BY15" s="81"/>
      <c r="BZ15" s="82"/>
      <c r="CA15" s="83"/>
      <c r="CB15" s="84"/>
      <c r="CC15" s="85"/>
      <c r="CD15" s="86"/>
      <c r="CE15" s="79"/>
      <c r="CF15" s="80"/>
    </row>
    <row r="16" spans="1:84" x14ac:dyDescent="0.3">
      <c r="A16" t="s">
        <v>35</v>
      </c>
      <c r="B16" t="s">
        <v>138</v>
      </c>
      <c r="C16" s="392">
        <v>4782</v>
      </c>
      <c r="D16" s="383" t="str">
        <f t="shared" si="0"/>
        <v>color2</v>
      </c>
      <c r="E16" s="383" t="str">
        <f t="shared" si="1"/>
        <v>CO
4782</v>
      </c>
      <c r="H16" s="384"/>
      <c r="I16" s="393"/>
      <c r="J16" s="391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78"/>
      <c r="BK16" s="87"/>
      <c r="BL16" s="88"/>
      <c r="BM16" s="89"/>
      <c r="BN16" s="90"/>
      <c r="BO16" s="91"/>
      <c r="BP16" s="92"/>
      <c r="BQ16" s="93"/>
      <c r="BR16" s="94"/>
      <c r="BS16" s="95"/>
      <c r="BT16" s="96"/>
      <c r="BU16" s="97"/>
      <c r="BV16" s="98"/>
      <c r="BW16" s="99"/>
      <c r="BX16" s="66"/>
      <c r="BY16" s="102"/>
      <c r="BZ16" s="103"/>
      <c r="CA16" s="104"/>
      <c r="CB16" s="105"/>
      <c r="CC16" s="106"/>
      <c r="CD16" s="107"/>
      <c r="CE16" s="100"/>
      <c r="CF16" s="101"/>
    </row>
    <row r="17" spans="1:84" x14ac:dyDescent="0.3">
      <c r="A17" t="s">
        <v>36</v>
      </c>
      <c r="B17" t="s">
        <v>37</v>
      </c>
      <c r="C17" s="392">
        <v>3934</v>
      </c>
      <c r="D17" s="383" t="str">
        <f t="shared" si="0"/>
        <v>color2</v>
      </c>
      <c r="E17" s="383" t="str">
        <f t="shared" si="1"/>
        <v>CT
3934</v>
      </c>
      <c r="H17" s="384"/>
      <c r="I17" s="393"/>
      <c r="J17" s="391"/>
      <c r="AA17" s="369"/>
      <c r="AB17" s="369"/>
      <c r="AC17" s="369"/>
      <c r="AD17" s="369"/>
      <c r="AE17" s="369"/>
      <c r="AF17" s="369"/>
      <c r="AG17" s="369"/>
      <c r="AH17" s="369"/>
      <c r="AI17" s="369"/>
      <c r="AJ17" s="369"/>
      <c r="AK17" s="369"/>
      <c r="AL17" s="369"/>
      <c r="AM17" s="369"/>
      <c r="AN17" s="369"/>
      <c r="AO17" s="369"/>
      <c r="AP17" s="369"/>
      <c r="AQ17" s="369"/>
      <c r="AR17" s="369"/>
      <c r="AS17" s="369"/>
      <c r="AT17" s="369"/>
      <c r="AU17" s="369"/>
      <c r="AV17" s="369"/>
      <c r="AW17" s="369"/>
      <c r="AX17" s="369"/>
      <c r="AY17" s="369"/>
      <c r="AZ17" s="369"/>
      <c r="BA17" s="369"/>
      <c r="BB17" s="369"/>
      <c r="BC17" s="369"/>
      <c r="BD17" s="369"/>
      <c r="BE17" s="369"/>
      <c r="BF17" s="369"/>
      <c r="BG17" s="369"/>
      <c r="BH17" s="369"/>
      <c r="BI17" s="369"/>
      <c r="BJ17" s="57"/>
      <c r="BK17" s="108"/>
      <c r="BL17" s="109"/>
      <c r="BM17" s="110"/>
      <c r="BN17" s="111"/>
      <c r="BO17" s="112"/>
      <c r="BP17" s="113"/>
      <c r="BQ17" s="114"/>
      <c r="BR17" s="115"/>
      <c r="BS17" s="116"/>
      <c r="BT17" s="117"/>
      <c r="BU17" s="118"/>
      <c r="BV17" s="119"/>
      <c r="BW17" s="120"/>
      <c r="BX17" s="46"/>
      <c r="BY17" s="123"/>
      <c r="BZ17" s="124"/>
      <c r="CA17" s="125"/>
      <c r="CB17" s="126"/>
      <c r="CC17" s="127"/>
      <c r="CD17" s="128"/>
      <c r="CE17" s="121"/>
      <c r="CF17" s="122"/>
    </row>
    <row r="18" spans="1:84" x14ac:dyDescent="0.3">
      <c r="A18" t="s">
        <v>38</v>
      </c>
      <c r="B18" t="s">
        <v>147</v>
      </c>
      <c r="C18" s="392">
        <v>3396</v>
      </c>
      <c r="D18" s="383" t="str">
        <f t="shared" si="0"/>
        <v>color2</v>
      </c>
      <c r="E18" s="383" t="str">
        <f t="shared" si="1"/>
        <v>DC
3396</v>
      </c>
      <c r="H18" s="384"/>
      <c r="I18" s="393"/>
      <c r="J18" s="391"/>
      <c r="AA18" s="369"/>
      <c r="AB18" s="369"/>
      <c r="AC18" s="369"/>
      <c r="AD18" s="369"/>
      <c r="AE18" s="369"/>
      <c r="AF18" s="369"/>
      <c r="AG18" s="369"/>
      <c r="AH18" s="369"/>
      <c r="AI18" s="369"/>
      <c r="AJ18" s="369"/>
      <c r="AK18" s="369"/>
      <c r="AL18" s="369"/>
      <c r="AM18" s="369"/>
      <c r="AN18" s="369"/>
      <c r="AO18" s="369"/>
      <c r="AP18" s="369"/>
      <c r="AQ18" s="369"/>
      <c r="AR18" s="369"/>
      <c r="AS18" s="369"/>
      <c r="AT18" s="369"/>
      <c r="AU18" s="369"/>
      <c r="AV18" s="369"/>
      <c r="AW18" s="369"/>
      <c r="AX18" s="369"/>
      <c r="AY18" s="369"/>
      <c r="AZ18" s="369"/>
      <c r="BA18" s="369"/>
      <c r="BB18" s="369"/>
      <c r="BC18" s="369"/>
      <c r="BD18" s="369"/>
      <c r="BE18" s="369"/>
      <c r="BF18" s="369"/>
      <c r="BG18" s="369"/>
      <c r="BH18" s="369"/>
      <c r="BI18" s="369"/>
      <c r="BJ18" s="37"/>
      <c r="BK18" s="129"/>
      <c r="BL18" s="130"/>
      <c r="BM18" s="131"/>
      <c r="BN18" s="132"/>
      <c r="BO18" s="133"/>
      <c r="BP18" s="134"/>
      <c r="BQ18" s="135"/>
      <c r="BR18" s="136"/>
      <c r="BS18" s="137"/>
      <c r="BT18" s="138"/>
      <c r="BU18" s="139"/>
      <c r="BV18" s="140"/>
      <c r="BW18" s="141"/>
      <c r="BX18" s="26"/>
      <c r="BY18" s="144"/>
      <c r="BZ18" s="145"/>
      <c r="CA18" s="146"/>
      <c r="CB18" s="147"/>
      <c r="CC18" s="148"/>
      <c r="CD18" s="149"/>
      <c r="CE18" s="142"/>
      <c r="CF18" s="143"/>
    </row>
    <row r="19" spans="1:84" x14ac:dyDescent="0.3">
      <c r="A19" t="s">
        <v>40</v>
      </c>
      <c r="B19" t="s">
        <v>41</v>
      </c>
      <c r="C19" s="392">
        <v>4383</v>
      </c>
      <c r="D19" s="383" t="str">
        <f t="shared" si="0"/>
        <v>color2</v>
      </c>
      <c r="E19" s="383" t="str">
        <f t="shared" si="1"/>
        <v>DE
4383</v>
      </c>
      <c r="H19" s="384"/>
      <c r="I19" s="393"/>
      <c r="J19" s="391"/>
      <c r="AA19" s="369"/>
      <c r="AB19" s="369"/>
      <c r="AC19" s="369"/>
      <c r="AD19" s="369"/>
      <c r="AE19" s="369"/>
      <c r="AF19" s="369"/>
      <c r="AG19" s="369"/>
      <c r="AH19" s="369"/>
      <c r="AI19" s="369"/>
      <c r="AJ19" s="369"/>
      <c r="AK19" s="369"/>
      <c r="AL19" s="369"/>
      <c r="AM19" s="369"/>
      <c r="AN19" s="369"/>
      <c r="AO19" s="369"/>
      <c r="AP19" s="369"/>
      <c r="AQ19" s="369"/>
      <c r="AR19" s="369"/>
      <c r="AS19" s="369"/>
      <c r="AT19" s="369"/>
      <c r="AU19" s="369"/>
      <c r="AV19" s="369"/>
      <c r="AW19" s="369"/>
      <c r="AX19" s="369"/>
      <c r="AY19" s="369"/>
      <c r="AZ19" s="369"/>
      <c r="BA19" s="369"/>
      <c r="BB19" s="369"/>
      <c r="BC19" s="369"/>
      <c r="BD19" s="369"/>
      <c r="BE19" s="369"/>
      <c r="BF19" s="369"/>
      <c r="BG19" s="369"/>
      <c r="BH19" s="369"/>
      <c r="BI19" s="369"/>
      <c r="BJ19" s="16"/>
      <c r="BK19" s="150"/>
      <c r="BL19" s="151"/>
      <c r="BM19" s="152"/>
      <c r="BN19" s="153"/>
      <c r="BO19" s="154"/>
      <c r="BP19" s="155"/>
      <c r="BQ19" s="156"/>
      <c r="BR19" s="157"/>
      <c r="BS19" s="158"/>
      <c r="BT19" s="159"/>
      <c r="BU19" s="160"/>
      <c r="BV19" s="161"/>
      <c r="BW19" s="162"/>
      <c r="BX19" s="5"/>
      <c r="BY19" s="165"/>
      <c r="BZ19" s="166"/>
      <c r="CA19" s="167"/>
      <c r="CB19" s="168"/>
      <c r="CC19" s="169"/>
      <c r="CD19" s="170"/>
      <c r="CE19" s="163"/>
      <c r="CF19" s="164"/>
    </row>
    <row r="20" spans="1:84" x14ac:dyDescent="0.3">
      <c r="A20" t="s">
        <v>42</v>
      </c>
      <c r="B20" t="s">
        <v>43</v>
      </c>
      <c r="C20" s="392">
        <v>5002</v>
      </c>
      <c r="D20" s="383" t="str">
        <f t="shared" si="0"/>
        <v>color3</v>
      </c>
      <c r="E20" s="383" t="str">
        <f t="shared" si="1"/>
        <v>FL
5002</v>
      </c>
      <c r="H20" s="384"/>
      <c r="I20" s="393"/>
      <c r="J20" s="391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171"/>
      <c r="BK20" s="172"/>
      <c r="BL20" s="173"/>
      <c r="BM20" s="174"/>
      <c r="BN20" s="175"/>
      <c r="BO20" s="176"/>
      <c r="BP20" s="177"/>
      <c r="BQ20" s="178"/>
      <c r="BR20" s="179"/>
      <c r="BS20" s="180"/>
      <c r="BT20" s="181"/>
      <c r="BU20" s="182"/>
      <c r="BV20" s="183"/>
      <c r="BW20" s="184"/>
      <c r="BX20" s="185"/>
      <c r="BY20" s="188"/>
      <c r="BZ20" s="189"/>
      <c r="CA20" s="190"/>
      <c r="CB20" s="191"/>
      <c r="CC20" s="192"/>
      <c r="CD20" s="193"/>
      <c r="CE20" s="186"/>
      <c r="CF20" s="187"/>
    </row>
    <row r="21" spans="1:84" x14ac:dyDescent="0.3">
      <c r="A21" t="s">
        <v>129</v>
      </c>
      <c r="B21" t="s">
        <v>44</v>
      </c>
      <c r="C21" s="392">
        <v>4922</v>
      </c>
      <c r="D21" s="383" t="str">
        <f t="shared" si="0"/>
        <v>color2</v>
      </c>
      <c r="E21" s="383" t="str">
        <f t="shared" si="1"/>
        <v>GA
4922</v>
      </c>
    </row>
    <row r="22" spans="1:84" x14ac:dyDescent="0.3">
      <c r="A22" t="s">
        <v>45</v>
      </c>
      <c r="B22" t="s">
        <v>46</v>
      </c>
      <c r="C22" s="392">
        <v>1300</v>
      </c>
      <c r="D22" s="383" t="str">
        <f t="shared" si="0"/>
        <v>color1</v>
      </c>
      <c r="E22" s="383" t="str">
        <f t="shared" si="1"/>
        <v>HI
1300</v>
      </c>
      <c r="G22" s="378" t="str">
        <f>IF(AND(COUNTA(G11:G20)&lt;=5,J7&gt;35),"请注意，配色方案应与分档设置相匹配，如5档对应5个颜色。","")</f>
        <v/>
      </c>
      <c r="AA22" s="374" t="s">
        <v>22</v>
      </c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377" t="s">
        <v>23</v>
      </c>
      <c r="AT22" s="376"/>
      <c r="AU22" s="376"/>
      <c r="AV22" s="376"/>
      <c r="AW22" s="376"/>
      <c r="AX22" s="376"/>
      <c r="AY22" s="376"/>
      <c r="AZ22" s="376"/>
      <c r="BA22" s="376"/>
      <c r="BB22" s="379" t="s">
        <v>24</v>
      </c>
      <c r="BC22" s="375"/>
      <c r="BD22" s="375"/>
      <c r="BE22" s="375"/>
      <c r="BF22" s="375"/>
      <c r="BG22" s="375"/>
      <c r="BH22" s="375"/>
      <c r="BI22" s="375"/>
      <c r="BJ22" s="2" t="s">
        <v>19</v>
      </c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376" t="s">
        <v>20</v>
      </c>
      <c r="BZ22" s="376"/>
      <c r="CA22" s="376"/>
      <c r="CB22" s="376"/>
      <c r="CC22" s="376"/>
      <c r="CD22" s="376"/>
    </row>
    <row r="23" spans="1:84" x14ac:dyDescent="0.3">
      <c r="A23" t="s">
        <v>47</v>
      </c>
      <c r="B23" t="s">
        <v>48</v>
      </c>
      <c r="C23" s="392">
        <v>7898</v>
      </c>
      <c r="D23" s="383" t="str">
        <f t="shared" si="0"/>
        <v>color4</v>
      </c>
      <c r="E23" s="383" t="str">
        <f t="shared" si="1"/>
        <v>IA
7898</v>
      </c>
      <c r="G23" s="378"/>
    </row>
    <row r="24" spans="1:84" x14ac:dyDescent="0.3">
      <c r="A24" t="s">
        <v>49</v>
      </c>
      <c r="B24" t="s">
        <v>50</v>
      </c>
      <c r="C24" s="392">
        <v>6624</v>
      </c>
      <c r="D24" s="383" t="str">
        <f t="shared" si="0"/>
        <v>color3</v>
      </c>
      <c r="E24" s="383" t="str">
        <f t="shared" si="1"/>
        <v>ID
6624</v>
      </c>
    </row>
    <row r="25" spans="1:84" x14ac:dyDescent="0.3">
      <c r="A25" t="s">
        <v>51</v>
      </c>
      <c r="B25" t="s">
        <v>52</v>
      </c>
      <c r="C25" s="392">
        <v>6376</v>
      </c>
      <c r="D25" s="383" t="str">
        <f t="shared" si="0"/>
        <v>color3</v>
      </c>
      <c r="E25" s="383" t="str">
        <f t="shared" si="1"/>
        <v>IL
6376</v>
      </c>
      <c r="CF25" s="3">
        <v>1</v>
      </c>
    </row>
    <row r="26" spans="1:84" x14ac:dyDescent="0.3">
      <c r="A26" t="s">
        <v>53</v>
      </c>
      <c r="B26" t="s">
        <v>54</v>
      </c>
      <c r="C26" s="392">
        <v>5954</v>
      </c>
      <c r="D26" s="383" t="str">
        <f t="shared" si="0"/>
        <v>color3</v>
      </c>
      <c r="E26" s="383" t="str">
        <f t="shared" si="1"/>
        <v>IN
5954</v>
      </c>
      <c r="CF26" s="3">
        <v>2</v>
      </c>
    </row>
    <row r="27" spans="1:84" x14ac:dyDescent="0.3">
      <c r="A27" t="s">
        <v>55</v>
      </c>
      <c r="B27" t="s">
        <v>56</v>
      </c>
      <c r="C27" s="392">
        <v>6176</v>
      </c>
      <c r="D27" s="383" t="str">
        <f t="shared" si="0"/>
        <v>color3</v>
      </c>
      <c r="E27" s="383" t="str">
        <f t="shared" si="1"/>
        <v>KS
6176</v>
      </c>
      <c r="CF27" s="3">
        <v>3</v>
      </c>
    </row>
    <row r="28" spans="1:84" x14ac:dyDescent="0.3">
      <c r="A28" t="s">
        <v>57</v>
      </c>
      <c r="B28" t="s">
        <v>58</v>
      </c>
      <c r="C28" s="392">
        <v>4680</v>
      </c>
      <c r="D28" s="383" t="str">
        <f t="shared" si="0"/>
        <v>color2</v>
      </c>
      <c r="E28" s="383" t="str">
        <f t="shared" si="1"/>
        <v>KY
4680</v>
      </c>
      <c r="CF28" s="3">
        <v>4</v>
      </c>
    </row>
    <row r="29" spans="1:84" x14ac:dyDescent="0.3">
      <c r="A29" t="s">
        <v>59</v>
      </c>
      <c r="B29" t="s">
        <v>60</v>
      </c>
      <c r="C29" s="392">
        <v>5556</v>
      </c>
      <c r="D29" s="383" t="str">
        <f t="shared" si="0"/>
        <v>color3</v>
      </c>
      <c r="E29" s="383" t="str">
        <f t="shared" si="1"/>
        <v>LA
5556</v>
      </c>
      <c r="CF29" s="3">
        <v>5</v>
      </c>
    </row>
    <row r="30" spans="1:84" x14ac:dyDescent="0.3">
      <c r="A30" t="s">
        <v>61</v>
      </c>
      <c r="B30" t="s">
        <v>62</v>
      </c>
      <c r="C30" s="392">
        <v>3900</v>
      </c>
      <c r="D30" s="383" t="str">
        <f t="shared" si="0"/>
        <v>color2</v>
      </c>
      <c r="E30" s="383" t="str">
        <f t="shared" si="1"/>
        <v>MA
3900</v>
      </c>
      <c r="CF30" s="3">
        <v>6</v>
      </c>
    </row>
    <row r="31" spans="1:84" x14ac:dyDescent="0.3">
      <c r="A31" t="s">
        <v>63</v>
      </c>
      <c r="B31" t="s">
        <v>64</v>
      </c>
      <c r="C31" s="392">
        <v>3738</v>
      </c>
      <c r="D31" s="383" t="str">
        <f t="shared" si="0"/>
        <v>color2</v>
      </c>
      <c r="E31" s="383" t="str">
        <f t="shared" si="1"/>
        <v>MD
3738</v>
      </c>
      <c r="CF31" s="3">
        <v>7</v>
      </c>
    </row>
    <row r="32" spans="1:84" x14ac:dyDescent="0.3">
      <c r="A32" t="s">
        <v>65</v>
      </c>
      <c r="B32" t="s">
        <v>66</v>
      </c>
      <c r="C32" s="392">
        <v>1110</v>
      </c>
      <c r="D32" s="383" t="str">
        <f t="shared" si="0"/>
        <v>color1</v>
      </c>
      <c r="E32" s="383" t="str">
        <f t="shared" si="1"/>
        <v>ME
1110</v>
      </c>
      <c r="CF32" s="3">
        <v>8</v>
      </c>
    </row>
    <row r="33" spans="1:84" x14ac:dyDescent="0.3">
      <c r="A33" t="s">
        <v>67</v>
      </c>
      <c r="B33" t="s">
        <v>68</v>
      </c>
      <c r="C33" s="392">
        <v>4490</v>
      </c>
      <c r="D33" s="383" t="str">
        <f t="shared" si="0"/>
        <v>color2</v>
      </c>
      <c r="E33" s="383" t="str">
        <f t="shared" si="1"/>
        <v>MI
4490</v>
      </c>
      <c r="CF33" s="3">
        <v>9</v>
      </c>
    </row>
    <row r="34" spans="1:84" x14ac:dyDescent="0.3">
      <c r="A34" t="s">
        <v>69</v>
      </c>
      <c r="B34" t="s">
        <v>70</v>
      </c>
      <c r="C34" s="392">
        <v>6482</v>
      </c>
      <c r="D34" s="383" t="str">
        <f t="shared" si="0"/>
        <v>color3</v>
      </c>
      <c r="E34" s="383" t="str">
        <f t="shared" si="1"/>
        <v>MN
6482</v>
      </c>
      <c r="CF34" s="3">
        <v>10</v>
      </c>
    </row>
    <row r="35" spans="1:84" x14ac:dyDescent="0.3">
      <c r="A35" t="s">
        <v>71</v>
      </c>
      <c r="B35" t="s">
        <v>72</v>
      </c>
      <c r="C35" s="392">
        <v>5400</v>
      </c>
      <c r="D35" s="383" t="str">
        <f t="shared" si="0"/>
        <v>color3</v>
      </c>
      <c r="E35" s="383" t="str">
        <f t="shared" si="1"/>
        <v>MO
5400</v>
      </c>
      <c r="CF35" s="3">
        <v>11</v>
      </c>
    </row>
    <row r="36" spans="1:84" x14ac:dyDescent="0.3">
      <c r="A36" t="s">
        <v>73</v>
      </c>
      <c r="B36" t="s">
        <v>74</v>
      </c>
      <c r="C36" s="392">
        <v>5791</v>
      </c>
      <c r="D36" s="383" t="str">
        <f t="shared" si="0"/>
        <v>color3</v>
      </c>
      <c r="E36" s="383" t="str">
        <f t="shared" si="1"/>
        <v>MS
5791</v>
      </c>
      <c r="CF36" s="3">
        <v>12</v>
      </c>
    </row>
    <row r="37" spans="1:84" x14ac:dyDescent="0.3">
      <c r="A37" t="s">
        <v>75</v>
      </c>
      <c r="B37" t="s">
        <v>76</v>
      </c>
      <c r="C37" s="392">
        <v>6602</v>
      </c>
      <c r="D37" s="383" t="str">
        <f t="shared" si="0"/>
        <v>color3</v>
      </c>
      <c r="E37" s="383" t="str">
        <f t="shared" si="1"/>
        <v>MT
6602</v>
      </c>
      <c r="CF37" s="3">
        <v>13</v>
      </c>
    </row>
    <row r="38" spans="1:84" x14ac:dyDescent="0.3">
      <c r="A38" t="s">
        <v>77</v>
      </c>
      <c r="B38" t="s">
        <v>78</v>
      </c>
      <c r="C38" s="392">
        <v>3954</v>
      </c>
      <c r="D38" s="383" t="str">
        <f t="shared" si="0"/>
        <v>color2</v>
      </c>
      <c r="E38" s="383" t="str">
        <f t="shared" si="1"/>
        <v>NC
3954</v>
      </c>
      <c r="CF38" s="3">
        <v>14</v>
      </c>
    </row>
    <row r="39" spans="1:84" x14ac:dyDescent="0.3">
      <c r="A39" t="s">
        <v>79</v>
      </c>
      <c r="B39" t="s">
        <v>80</v>
      </c>
      <c r="C39" s="392">
        <v>11408</v>
      </c>
      <c r="D39" s="383" t="str">
        <f t="shared" si="0"/>
        <v>color5</v>
      </c>
      <c r="E39" s="383" t="str">
        <f t="shared" si="1"/>
        <v>ND
11408</v>
      </c>
      <c r="CF39" s="3">
        <v>15</v>
      </c>
    </row>
    <row r="40" spans="1:84" x14ac:dyDescent="0.3">
      <c r="A40" t="s">
        <v>81</v>
      </c>
      <c r="B40" t="s">
        <v>82</v>
      </c>
      <c r="C40" s="392">
        <v>7460</v>
      </c>
      <c r="D40" s="383" t="str">
        <f t="shared" si="0"/>
        <v>color3</v>
      </c>
      <c r="E40" s="383" t="str">
        <f t="shared" si="1"/>
        <v>NE
7460</v>
      </c>
      <c r="CF40" s="3">
        <v>16</v>
      </c>
    </row>
    <row r="41" spans="1:84" x14ac:dyDescent="0.3">
      <c r="A41" t="s">
        <v>83</v>
      </c>
      <c r="B41" t="s">
        <v>84</v>
      </c>
      <c r="C41" s="392">
        <v>2034</v>
      </c>
      <c r="D41" s="383" t="str">
        <f t="shared" si="0"/>
        <v>color1</v>
      </c>
      <c r="E41" s="383" t="str">
        <f t="shared" si="1"/>
        <v>NH
2034</v>
      </c>
      <c r="CF41" s="3">
        <v>17</v>
      </c>
    </row>
    <row r="42" spans="1:84" x14ac:dyDescent="0.3">
      <c r="A42" t="s">
        <v>85</v>
      </c>
      <c r="B42" t="s">
        <v>86</v>
      </c>
      <c r="C42" s="392">
        <v>4282</v>
      </c>
      <c r="D42" s="383" t="str">
        <f t="shared" si="0"/>
        <v>color2</v>
      </c>
      <c r="E42" s="383" t="str">
        <f t="shared" si="1"/>
        <v>NJ
4282</v>
      </c>
      <c r="CF42" s="3">
        <v>18</v>
      </c>
    </row>
    <row r="43" spans="1:84" x14ac:dyDescent="0.3">
      <c r="A43" t="s">
        <v>87</v>
      </c>
      <c r="B43" t="s">
        <v>88</v>
      </c>
      <c r="C43" s="392">
        <v>5390</v>
      </c>
      <c r="D43" s="383" t="str">
        <f t="shared" si="0"/>
        <v>color3</v>
      </c>
      <c r="E43" s="383" t="str">
        <f t="shared" ref="E43:E63" si="2">IF(show_province,A43,"")&amp;IF(AND(show_province,show_numbers),CHAR(10),"")&amp;IF(show_numbers,TEXT(C43,numbers_format),"")</f>
        <v>NM
5390</v>
      </c>
      <c r="CF43" s="3">
        <v>19</v>
      </c>
    </row>
    <row r="44" spans="1:84" x14ac:dyDescent="0.3">
      <c r="A44" t="s">
        <v>89</v>
      </c>
      <c r="B44" t="s">
        <v>90</v>
      </c>
      <c r="C44" s="392">
        <v>5811</v>
      </c>
      <c r="D44" s="383" t="str">
        <f t="shared" si="0"/>
        <v>color3</v>
      </c>
      <c r="E44" s="383" t="str">
        <f t="shared" si="2"/>
        <v>NV
5811</v>
      </c>
      <c r="CF44" s="3">
        <v>20</v>
      </c>
    </row>
    <row r="45" spans="1:84" x14ac:dyDescent="0.3">
      <c r="A45" t="s">
        <v>91</v>
      </c>
      <c r="B45" t="s">
        <v>92</v>
      </c>
      <c r="C45" s="392">
        <v>3519</v>
      </c>
      <c r="D45" s="383" t="str">
        <f t="shared" ref="D45:D63" si="3">VLOOKUP(C45,color_table,2,1)</f>
        <v>color2</v>
      </c>
      <c r="E45" s="383" t="str">
        <f t="shared" si="2"/>
        <v>NY
3519</v>
      </c>
      <c r="CF45" s="3">
        <v>21</v>
      </c>
    </row>
    <row r="46" spans="1:84" x14ac:dyDescent="0.3">
      <c r="A46" t="s">
        <v>93</v>
      </c>
      <c r="B46" t="s">
        <v>94</v>
      </c>
      <c r="C46" s="392">
        <v>4449</v>
      </c>
      <c r="D46" s="383" t="str">
        <f t="shared" si="3"/>
        <v>color2</v>
      </c>
      <c r="E46" s="383" t="str">
        <f t="shared" si="2"/>
        <v>OH
4449</v>
      </c>
      <c r="CF46" s="3">
        <v>22</v>
      </c>
    </row>
    <row r="47" spans="1:84" x14ac:dyDescent="0.3">
      <c r="A47" t="s">
        <v>95</v>
      </c>
      <c r="B47" t="s">
        <v>96</v>
      </c>
      <c r="C47" s="392">
        <v>5793</v>
      </c>
      <c r="D47" s="383" t="str">
        <f t="shared" si="3"/>
        <v>color3</v>
      </c>
      <c r="E47" s="383" t="str">
        <f t="shared" si="2"/>
        <v>OK
5793</v>
      </c>
      <c r="CF47" s="3">
        <v>23</v>
      </c>
    </row>
    <row r="48" spans="1:84" x14ac:dyDescent="0.3">
      <c r="A48" t="s">
        <v>97</v>
      </c>
      <c r="B48" t="s">
        <v>98</v>
      </c>
      <c r="C48" s="392">
        <v>2107</v>
      </c>
      <c r="D48" s="383" t="str">
        <f t="shared" si="3"/>
        <v>color1</v>
      </c>
      <c r="E48" s="383" t="str">
        <f t="shared" si="2"/>
        <v>OR
2107</v>
      </c>
      <c r="CF48" s="3">
        <v>24</v>
      </c>
    </row>
    <row r="49" spans="1:84" x14ac:dyDescent="0.3">
      <c r="A49" t="s">
        <v>99</v>
      </c>
      <c r="B49" t="s">
        <v>100</v>
      </c>
      <c r="C49" s="392">
        <v>3477</v>
      </c>
      <c r="D49" s="383" t="str">
        <f t="shared" si="3"/>
        <v>color2</v>
      </c>
      <c r="E49" s="383" t="str">
        <f t="shared" si="2"/>
        <v>PA
3477</v>
      </c>
      <c r="CF49" s="3">
        <v>25</v>
      </c>
    </row>
    <row r="50" spans="1:84" x14ac:dyDescent="0.3">
      <c r="A50" t="s">
        <v>101</v>
      </c>
      <c r="B50" t="s">
        <v>132</v>
      </c>
      <c r="C50" s="392">
        <v>0</v>
      </c>
      <c r="D50" s="383" t="str">
        <f t="shared" si="3"/>
        <v>color1</v>
      </c>
      <c r="E50" s="383" t="str">
        <f t="shared" si="2"/>
        <v>PW
0</v>
      </c>
      <c r="CF50" s="3">
        <v>26</v>
      </c>
    </row>
    <row r="51" spans="1:84" x14ac:dyDescent="0.3">
      <c r="A51" t="s">
        <v>102</v>
      </c>
      <c r="B51" t="s">
        <v>103</v>
      </c>
      <c r="C51" s="392">
        <v>6460</v>
      </c>
      <c r="D51" s="383" t="str">
        <f t="shared" si="3"/>
        <v>color3</v>
      </c>
      <c r="E51" s="383" t="str">
        <f t="shared" si="2"/>
        <v>RI
6460</v>
      </c>
      <c r="CF51" s="3">
        <v>27</v>
      </c>
    </row>
    <row r="52" spans="1:84" x14ac:dyDescent="0.3">
      <c r="A52" t="s">
        <v>104</v>
      </c>
      <c r="B52" t="s">
        <v>105</v>
      </c>
      <c r="C52" s="392">
        <v>4710</v>
      </c>
      <c r="D52" s="383" t="str">
        <f t="shared" si="3"/>
        <v>color2</v>
      </c>
      <c r="E52" s="383" t="str">
        <f t="shared" si="2"/>
        <v>SC
4710</v>
      </c>
      <c r="CF52" s="3">
        <v>28</v>
      </c>
    </row>
    <row r="53" spans="1:84" x14ac:dyDescent="0.3">
      <c r="A53" t="s">
        <v>106</v>
      </c>
      <c r="B53" t="s">
        <v>107</v>
      </c>
      <c r="C53" s="392">
        <v>9977</v>
      </c>
      <c r="D53" s="383" t="str">
        <f t="shared" si="3"/>
        <v>color4</v>
      </c>
      <c r="E53" s="383" t="str">
        <f t="shared" si="2"/>
        <v>SD
9977</v>
      </c>
      <c r="CF53" s="3">
        <v>29</v>
      </c>
    </row>
    <row r="54" spans="1:84" x14ac:dyDescent="0.3">
      <c r="A54" t="s">
        <v>108</v>
      </c>
      <c r="B54" t="s">
        <v>109</v>
      </c>
      <c r="C54" s="392">
        <v>6248</v>
      </c>
      <c r="D54" s="383" t="str">
        <f t="shared" si="3"/>
        <v>color3</v>
      </c>
      <c r="E54" s="383" t="str">
        <f t="shared" si="2"/>
        <v>TN
6248</v>
      </c>
      <c r="CF54" s="3">
        <v>30</v>
      </c>
    </row>
    <row r="55" spans="1:84" x14ac:dyDescent="0.3">
      <c r="A55" t="s">
        <v>110</v>
      </c>
      <c r="B55" t="s">
        <v>111</v>
      </c>
      <c r="C55" s="392">
        <v>4472</v>
      </c>
      <c r="D55" s="383" t="str">
        <f t="shared" si="3"/>
        <v>color2</v>
      </c>
      <c r="E55" s="383" t="str">
        <f t="shared" si="2"/>
        <v>TX
4472</v>
      </c>
      <c r="CF55" s="3">
        <v>31</v>
      </c>
    </row>
    <row r="56" spans="1:84" x14ac:dyDescent="0.3">
      <c r="A56" t="s">
        <v>112</v>
      </c>
      <c r="B56" t="s">
        <v>113</v>
      </c>
      <c r="C56" s="392">
        <v>7040</v>
      </c>
      <c r="D56" s="383" t="str">
        <f t="shared" si="3"/>
        <v>color3</v>
      </c>
      <c r="E56" s="383" t="str">
        <f t="shared" si="2"/>
        <v>UT
7040</v>
      </c>
      <c r="CF56" s="3">
        <v>32</v>
      </c>
    </row>
    <row r="57" spans="1:84" x14ac:dyDescent="0.3">
      <c r="A57" t="s">
        <v>114</v>
      </c>
      <c r="B57" t="s">
        <v>146</v>
      </c>
      <c r="C57" s="392">
        <v>3182</v>
      </c>
      <c r="D57" s="383" t="str">
        <f t="shared" si="3"/>
        <v>color2</v>
      </c>
      <c r="E57" s="383" t="str">
        <f t="shared" si="2"/>
        <v>VA
3182</v>
      </c>
      <c r="CF57" s="3">
        <v>33</v>
      </c>
    </row>
    <row r="58" spans="1:84" x14ac:dyDescent="0.3">
      <c r="A58" t="s">
        <v>115</v>
      </c>
      <c r="B58" t="s">
        <v>156</v>
      </c>
      <c r="C58" s="392">
        <v>1656</v>
      </c>
      <c r="D58" s="383" t="str">
        <f t="shared" si="3"/>
        <v>color1</v>
      </c>
      <c r="E58" s="383" t="str">
        <f t="shared" si="2"/>
        <v>VI
1656</v>
      </c>
      <c r="CF58" s="3">
        <v>34</v>
      </c>
    </row>
    <row r="59" spans="1:84" x14ac:dyDescent="0.3">
      <c r="A59" t="s">
        <v>117</v>
      </c>
      <c r="B59" t="s">
        <v>118</v>
      </c>
      <c r="C59" s="392">
        <v>844</v>
      </c>
      <c r="D59" s="383" t="str">
        <f t="shared" si="3"/>
        <v>color1</v>
      </c>
      <c r="E59" s="383" t="str">
        <f t="shared" si="2"/>
        <v>VT
844</v>
      </c>
      <c r="CF59" s="3">
        <v>35</v>
      </c>
    </row>
    <row r="60" spans="1:84" x14ac:dyDescent="0.3">
      <c r="A60" t="s">
        <v>119</v>
      </c>
      <c r="B60" t="s">
        <v>120</v>
      </c>
      <c r="C60" s="392">
        <v>2520</v>
      </c>
      <c r="D60" s="383" t="str">
        <f t="shared" si="3"/>
        <v>color2</v>
      </c>
      <c r="E60" s="383" t="str">
        <f t="shared" si="2"/>
        <v>WA
2520</v>
      </c>
      <c r="CF60" s="3">
        <v>36</v>
      </c>
    </row>
    <row r="61" spans="1:84" x14ac:dyDescent="0.3">
      <c r="A61" t="s">
        <v>121</v>
      </c>
      <c r="B61" t="s">
        <v>122</v>
      </c>
      <c r="C61" s="392">
        <v>7778</v>
      </c>
      <c r="D61" s="383" t="str">
        <f t="shared" si="3"/>
        <v>color4</v>
      </c>
      <c r="E61" s="383" t="str">
        <f t="shared" si="2"/>
        <v>WI
7778</v>
      </c>
      <c r="CF61" s="3">
        <v>37</v>
      </c>
    </row>
    <row r="62" spans="1:84" x14ac:dyDescent="0.3">
      <c r="A62" t="s">
        <v>123</v>
      </c>
      <c r="B62" t="s">
        <v>124</v>
      </c>
      <c r="C62" s="392">
        <v>3237</v>
      </c>
      <c r="D62" s="383" t="str">
        <f t="shared" si="3"/>
        <v>color2</v>
      </c>
      <c r="E62" s="383" t="str">
        <f t="shared" si="2"/>
        <v>WV
3237</v>
      </c>
      <c r="CF62" s="3">
        <v>38</v>
      </c>
    </row>
    <row r="63" spans="1:84" x14ac:dyDescent="0.3">
      <c r="A63" t="s">
        <v>125</v>
      </c>
      <c r="B63" t="s">
        <v>126</v>
      </c>
      <c r="C63" s="392">
        <v>6558</v>
      </c>
      <c r="D63" s="383" t="str">
        <f t="shared" si="3"/>
        <v>color3</v>
      </c>
      <c r="E63" s="383" t="str">
        <f t="shared" si="2"/>
        <v>WY
6558</v>
      </c>
      <c r="CF63" s="3">
        <v>39</v>
      </c>
    </row>
    <row r="64" spans="1:84" x14ac:dyDescent="0.3">
      <c r="CF64" s="3">
        <v>40</v>
      </c>
    </row>
    <row r="65" spans="84:84" x14ac:dyDescent="0.3">
      <c r="CF65" s="3">
        <v>41</v>
      </c>
    </row>
    <row r="66" spans="84:84" x14ac:dyDescent="0.3">
      <c r="CF66" s="3">
        <v>42</v>
      </c>
    </row>
    <row r="67" spans="84:84" x14ac:dyDescent="0.3">
      <c r="CF67" s="3">
        <v>43</v>
      </c>
    </row>
    <row r="68" spans="84:84" x14ac:dyDescent="0.3">
      <c r="CF68" s="3">
        <v>44</v>
      </c>
    </row>
    <row r="69" spans="84:84" x14ac:dyDescent="0.3">
      <c r="CF69" s="3">
        <v>45</v>
      </c>
    </row>
    <row r="70" spans="84:84" x14ac:dyDescent="0.3">
      <c r="CF70" s="3">
        <v>46</v>
      </c>
    </row>
    <row r="71" spans="84:84" x14ac:dyDescent="0.3">
      <c r="CF71" s="3">
        <v>47</v>
      </c>
    </row>
    <row r="72" spans="84:84" x14ac:dyDescent="0.3">
      <c r="CF72" s="3">
        <v>48</v>
      </c>
    </row>
    <row r="73" spans="84:84" x14ac:dyDescent="0.3">
      <c r="CF73" s="3">
        <v>49</v>
      </c>
    </row>
    <row r="74" spans="84:84" x14ac:dyDescent="0.3">
      <c r="CF74" s="3">
        <v>50</v>
      </c>
    </row>
    <row r="75" spans="84:84" x14ac:dyDescent="0.3">
      <c r="CF75" s="3">
        <v>51</v>
      </c>
    </row>
    <row r="76" spans="84:84" x14ac:dyDescent="0.3">
      <c r="CF76" s="3">
        <v>52</v>
      </c>
    </row>
    <row r="77" spans="84:84" x14ac:dyDescent="0.3">
      <c r="CF77" s="3">
        <v>53</v>
      </c>
    </row>
    <row r="78" spans="84:84" x14ac:dyDescent="0.3">
      <c r="CF78" s="3">
        <v>54</v>
      </c>
    </row>
    <row r="79" spans="84:84" x14ac:dyDescent="0.3">
      <c r="CF79" s="3">
        <v>55</v>
      </c>
    </row>
    <row r="80" spans="84:84" x14ac:dyDescent="0.3">
      <c r="CF80" s="3">
        <v>56</v>
      </c>
    </row>
    <row r="81" spans="84:84" x14ac:dyDescent="0.3">
      <c r="CF81" s="3">
        <v>57</v>
      </c>
    </row>
    <row r="82" spans="84:84" x14ac:dyDescent="0.3">
      <c r="CF82" s="3">
        <v>58</v>
      </c>
    </row>
  </sheetData>
  <sheetProtection formatCells="0"/>
  <mergeCells count="1">
    <mergeCell ref="G1:H1"/>
  </mergeCells>
  <phoneticPr fontId="1" type="noConversion"/>
  <dataValidations count="1">
    <dataValidation type="list" allowBlank="1" showInputMessage="1" showErrorMessage="1" sqref="S8" xr:uid="{17193EE8-05D7-46E5-8D4D-A93AF90FD30C}">
      <formula1>$S$2:$S$7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按钮 1">
              <controlPr defaultSize="0" print="0" autoFill="0" autoPict="0" macro="[0]!fill_color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 Box 9">
              <controlPr defaultSize="0" autoFill="0" autoLine="0" autoPict="0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 Box 10">
              <controlPr defaultSize="0" autoFill="0" autoLine="0" autoPict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Scroll Bar 16">
              <controlPr defaultSize="0" autoPict="0" macro="[0]!change_color">
                <anchor moveWithCells="1">
                  <from>
                    <xdr:col>8</xdr:col>
                    <xdr:colOff>32657</xdr:colOff>
                    <xdr:row>5</xdr:row>
                    <xdr:rowOff>48986</xdr:rowOff>
                  </from>
                  <to>
                    <xdr:col>10</xdr:col>
                    <xdr:colOff>10886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8" name="下拉框 54">
              <controlPr defaultSize="0" autoLine="0" autoPict="0" macro="[0]!change_color">
                <anchor moveWithCells="1">
                  <from>
                    <xdr:col>9</xdr:col>
                    <xdr:colOff>370114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showGridLines="0" zoomScaleNormal="100" workbookViewId="0"/>
  </sheetViews>
  <sheetFormatPr defaultRowHeight="12.45" x14ac:dyDescent="0.3"/>
  <sheetData>
    <row r="1" spans="1:6" x14ac:dyDescent="0.3">
      <c r="A1" s="404" t="s">
        <v>157</v>
      </c>
      <c r="B1" s="404"/>
      <c r="C1" s="404"/>
      <c r="D1" s="404"/>
      <c r="E1" s="404"/>
      <c r="F1" s="404"/>
    </row>
    <row r="2" spans="1:6" ht="13.75" x14ac:dyDescent="0.3">
      <c r="A2" s="405" t="s">
        <v>158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5997C-3D52-4B88-BC73-469A9F92694A}">
  <dimension ref="A1:P61"/>
  <sheetViews>
    <sheetView zoomScale="85" zoomScaleNormal="85" workbookViewId="0">
      <selection activeCell="E7" sqref="E7"/>
    </sheetView>
  </sheetViews>
  <sheetFormatPr defaultRowHeight="20.149999999999999" x14ac:dyDescent="0.3"/>
  <cols>
    <col min="1" max="2" width="29" style="416" customWidth="1"/>
    <col min="3" max="4" width="9.23046875" style="394"/>
    <col min="5" max="5" width="29.23046875" style="397" customWidth="1"/>
    <col min="6" max="6" width="18.15234375" style="398" customWidth="1"/>
    <col min="7" max="7" width="9.23046875" style="373"/>
  </cols>
  <sheetData>
    <row r="1" spans="1:16" x14ac:dyDescent="0.3">
      <c r="A1" s="414" t="s">
        <v>133</v>
      </c>
      <c r="B1" s="414" t="s">
        <v>134</v>
      </c>
      <c r="E1" s="397" t="s">
        <v>153</v>
      </c>
      <c r="F1" s="398" t="s">
        <v>154</v>
      </c>
      <c r="G1" s="413" t="s">
        <v>163</v>
      </c>
      <c r="H1" s="404"/>
    </row>
    <row r="2" spans="1:16" x14ac:dyDescent="0.3">
      <c r="A2" s="415" t="s">
        <v>28</v>
      </c>
      <c r="B2" s="415">
        <v>5064</v>
      </c>
      <c r="E2" s="397" t="s">
        <v>28</v>
      </c>
      <c r="F2" s="398">
        <f>VLOOKUP(E2,$A$1:$B$100,2,)</f>
        <v>5064</v>
      </c>
      <c r="G2" s="404">
        <f>IF(ISNA(F2),0,F2)</f>
        <v>5064</v>
      </c>
      <c r="P2" t="str">
        <f t="shared" ref="P2:P33" si="0">LOWER(E2)</f>
        <v>alaska</v>
      </c>
    </row>
    <row r="3" spans="1:16" x14ac:dyDescent="0.3">
      <c r="A3" s="415" t="s">
        <v>30</v>
      </c>
      <c r="B3" s="415">
        <v>5732</v>
      </c>
      <c r="E3" s="397" t="s">
        <v>30</v>
      </c>
      <c r="F3" s="398">
        <f t="shared" ref="F3:F54" si="1">VLOOKUP(E3,$A$1:$B$100,2,)</f>
        <v>5732</v>
      </c>
      <c r="G3" s="404">
        <f t="shared" ref="G3:G54" si="2">IF(ISNA(F3),0,F3)</f>
        <v>5732</v>
      </c>
      <c r="H3" s="417" t="s">
        <v>164</v>
      </c>
      <c r="I3" s="418"/>
      <c r="J3" s="418"/>
      <c r="K3" s="418"/>
      <c r="L3" s="419"/>
      <c r="M3" s="419"/>
      <c r="N3" s="419"/>
      <c r="P3" t="str">
        <f t="shared" si="0"/>
        <v>alabama</v>
      </c>
    </row>
    <row r="4" spans="1:16" x14ac:dyDescent="0.3">
      <c r="A4" s="415" t="s">
        <v>32</v>
      </c>
      <c r="B4" s="415">
        <v>5861</v>
      </c>
      <c r="E4" s="397" t="s">
        <v>32</v>
      </c>
      <c r="F4" s="398">
        <f t="shared" si="1"/>
        <v>5861</v>
      </c>
      <c r="G4" s="404">
        <f t="shared" si="2"/>
        <v>5861</v>
      </c>
      <c r="H4" s="418" t="s">
        <v>149</v>
      </c>
      <c r="I4" s="418"/>
      <c r="J4" s="418"/>
      <c r="K4" s="418"/>
      <c r="L4" s="419"/>
      <c r="M4" s="419"/>
      <c r="N4" s="419"/>
      <c r="P4" t="str">
        <f t="shared" si="0"/>
        <v>arkansas</v>
      </c>
    </row>
    <row r="5" spans="1:16" x14ac:dyDescent="0.3">
      <c r="A5" s="415" t="s">
        <v>135</v>
      </c>
      <c r="B5" s="415">
        <v>5</v>
      </c>
      <c r="E5" s="397" t="s">
        <v>136</v>
      </c>
      <c r="F5" s="398">
        <f t="shared" si="1"/>
        <v>5335</v>
      </c>
      <c r="G5" s="404">
        <f t="shared" si="2"/>
        <v>5335</v>
      </c>
      <c r="H5" s="417" t="s">
        <v>150</v>
      </c>
      <c r="I5" s="418"/>
      <c r="J5" s="418"/>
      <c r="K5" s="418"/>
      <c r="L5" s="419"/>
      <c r="M5" s="419"/>
      <c r="N5" s="419"/>
      <c r="P5" t="str">
        <f t="shared" si="0"/>
        <v>arizona</v>
      </c>
    </row>
    <row r="6" spans="1:16" x14ac:dyDescent="0.3">
      <c r="A6" s="415" t="s">
        <v>136</v>
      </c>
      <c r="B6" s="415">
        <v>5335</v>
      </c>
      <c r="E6" s="397" t="s">
        <v>137</v>
      </c>
      <c r="F6" s="398">
        <f t="shared" si="1"/>
        <v>3591</v>
      </c>
      <c r="G6" s="404">
        <f t="shared" si="2"/>
        <v>3591</v>
      </c>
      <c r="P6" t="str">
        <f t="shared" si="0"/>
        <v>california</v>
      </c>
    </row>
    <row r="7" spans="1:16" ht="22.75" x14ac:dyDescent="0.3">
      <c r="A7" s="415" t="s">
        <v>137</v>
      </c>
      <c r="B7" s="415">
        <v>3591</v>
      </c>
      <c r="E7" s="397" t="s">
        <v>138</v>
      </c>
      <c r="F7" s="398">
        <f t="shared" si="1"/>
        <v>4782</v>
      </c>
      <c r="G7" s="404">
        <f t="shared" si="2"/>
        <v>4782</v>
      </c>
      <c r="H7" s="399" t="s">
        <v>151</v>
      </c>
      <c r="I7" s="400"/>
      <c r="J7" s="400"/>
      <c r="K7" s="400"/>
      <c r="L7" s="401"/>
      <c r="P7" t="str">
        <f t="shared" si="0"/>
        <v>colorado</v>
      </c>
    </row>
    <row r="8" spans="1:16" x14ac:dyDescent="0.3">
      <c r="A8" s="415" t="s">
        <v>138</v>
      </c>
      <c r="B8" s="415">
        <v>4782</v>
      </c>
      <c r="E8" s="397" t="s">
        <v>37</v>
      </c>
      <c r="F8" s="398">
        <f t="shared" si="1"/>
        <v>3934</v>
      </c>
      <c r="G8" s="404">
        <f t="shared" si="2"/>
        <v>3934</v>
      </c>
      <c r="P8" t="str">
        <f t="shared" si="0"/>
        <v>connecticut</v>
      </c>
    </row>
    <row r="9" spans="1:16" x14ac:dyDescent="0.3">
      <c r="A9" s="415" t="s">
        <v>37</v>
      </c>
      <c r="B9" s="415">
        <v>3934</v>
      </c>
      <c r="E9" s="397" t="s">
        <v>39</v>
      </c>
      <c r="F9" s="398">
        <f t="shared" si="1"/>
        <v>3396</v>
      </c>
      <c r="G9" s="404">
        <f t="shared" si="2"/>
        <v>3396</v>
      </c>
      <c r="H9" s="395" t="s">
        <v>152</v>
      </c>
      <c r="I9" s="396"/>
      <c r="J9" s="396"/>
      <c r="K9" s="396"/>
      <c r="L9" s="396"/>
      <c r="M9" s="396"/>
      <c r="N9" s="396"/>
      <c r="O9" s="396"/>
      <c r="P9" t="str">
        <f t="shared" si="0"/>
        <v>district of columbia</v>
      </c>
    </row>
    <row r="10" spans="1:16" x14ac:dyDescent="0.3">
      <c r="A10" s="415" t="s">
        <v>139</v>
      </c>
      <c r="B10" s="415">
        <v>3396</v>
      </c>
      <c r="E10" s="397" t="s">
        <v>41</v>
      </c>
      <c r="F10" s="398">
        <f t="shared" si="1"/>
        <v>4383</v>
      </c>
      <c r="G10" s="404">
        <f t="shared" si="2"/>
        <v>4383</v>
      </c>
      <c r="P10" t="str">
        <f t="shared" si="0"/>
        <v>delaware</v>
      </c>
    </row>
    <row r="11" spans="1:16" x14ac:dyDescent="0.3">
      <c r="A11" s="415" t="s">
        <v>41</v>
      </c>
      <c r="B11" s="415">
        <v>4383</v>
      </c>
      <c r="E11" s="397" t="s">
        <v>43</v>
      </c>
      <c r="F11" s="398">
        <f t="shared" si="1"/>
        <v>5002</v>
      </c>
      <c r="G11" s="404">
        <f t="shared" si="2"/>
        <v>5002</v>
      </c>
      <c r="P11" t="str">
        <f t="shared" si="0"/>
        <v>florida</v>
      </c>
    </row>
    <row r="12" spans="1:16" x14ac:dyDescent="0.3">
      <c r="A12" s="415" t="s">
        <v>43</v>
      </c>
      <c r="B12" s="415">
        <v>5002</v>
      </c>
      <c r="E12" s="397" t="s">
        <v>44</v>
      </c>
      <c r="F12" s="398">
        <f t="shared" si="1"/>
        <v>4922</v>
      </c>
      <c r="G12" s="404">
        <f t="shared" si="2"/>
        <v>4922</v>
      </c>
      <c r="P12" t="str">
        <f t="shared" si="0"/>
        <v>georgia</v>
      </c>
    </row>
    <row r="13" spans="1:16" x14ac:dyDescent="0.3">
      <c r="A13" s="415" t="s">
        <v>140</v>
      </c>
      <c r="B13" s="415">
        <v>0</v>
      </c>
      <c r="E13" s="397" t="s">
        <v>46</v>
      </c>
      <c r="F13" s="398">
        <f t="shared" si="1"/>
        <v>1300</v>
      </c>
      <c r="G13" s="404">
        <f t="shared" si="2"/>
        <v>1300</v>
      </c>
      <c r="P13" t="str">
        <f t="shared" si="0"/>
        <v>hawaii</v>
      </c>
    </row>
    <row r="14" spans="1:16" x14ac:dyDescent="0.3">
      <c r="A14" s="415" t="s">
        <v>44</v>
      </c>
      <c r="B14" s="415">
        <v>4922</v>
      </c>
      <c r="E14" s="397" t="s">
        <v>48</v>
      </c>
      <c r="F14" s="398">
        <f t="shared" si="1"/>
        <v>7898</v>
      </c>
      <c r="G14" s="404">
        <f t="shared" si="2"/>
        <v>7898</v>
      </c>
      <c r="P14" t="str">
        <f t="shared" si="0"/>
        <v>iowa</v>
      </c>
    </row>
    <row r="15" spans="1:16" x14ac:dyDescent="0.3">
      <c r="A15" s="415" t="s">
        <v>141</v>
      </c>
      <c r="B15" s="415">
        <v>4254</v>
      </c>
      <c r="E15" s="397" t="s">
        <v>50</v>
      </c>
      <c r="F15" s="398">
        <f t="shared" si="1"/>
        <v>6624</v>
      </c>
      <c r="G15" s="404">
        <f t="shared" si="2"/>
        <v>6624</v>
      </c>
      <c r="P15" t="str">
        <f t="shared" si="0"/>
        <v>idaho</v>
      </c>
    </row>
    <row r="16" spans="1:16" x14ac:dyDescent="0.3">
      <c r="A16" s="415" t="s">
        <v>46</v>
      </c>
      <c r="B16" s="415">
        <v>1300</v>
      </c>
      <c r="E16" s="397" t="s">
        <v>52</v>
      </c>
      <c r="F16" s="398">
        <f t="shared" si="1"/>
        <v>6376</v>
      </c>
      <c r="G16" s="404">
        <f t="shared" si="2"/>
        <v>6376</v>
      </c>
      <c r="P16" t="str">
        <f t="shared" si="0"/>
        <v>illinois</v>
      </c>
    </row>
    <row r="17" spans="1:16" x14ac:dyDescent="0.3">
      <c r="A17" s="415" t="s">
        <v>48</v>
      </c>
      <c r="B17" s="415">
        <v>7898</v>
      </c>
      <c r="E17" s="397" t="s">
        <v>54</v>
      </c>
      <c r="F17" s="398">
        <f t="shared" si="1"/>
        <v>5954</v>
      </c>
      <c r="G17" s="404">
        <f t="shared" si="2"/>
        <v>5954</v>
      </c>
      <c r="P17" t="str">
        <f t="shared" si="0"/>
        <v>indiana</v>
      </c>
    </row>
    <row r="18" spans="1:16" x14ac:dyDescent="0.3">
      <c r="A18" s="415" t="s">
        <v>50</v>
      </c>
      <c r="B18" s="415">
        <v>6624</v>
      </c>
      <c r="E18" s="397" t="s">
        <v>56</v>
      </c>
      <c r="F18" s="398">
        <f t="shared" si="1"/>
        <v>6176</v>
      </c>
      <c r="G18" s="404">
        <f t="shared" si="2"/>
        <v>6176</v>
      </c>
      <c r="P18" t="str">
        <f t="shared" si="0"/>
        <v>kansas</v>
      </c>
    </row>
    <row r="19" spans="1:16" x14ac:dyDescent="0.3">
      <c r="A19" s="415" t="s">
        <v>52</v>
      </c>
      <c r="B19" s="415">
        <v>6376</v>
      </c>
      <c r="E19" s="397" t="s">
        <v>58</v>
      </c>
      <c r="F19" s="398">
        <f t="shared" si="1"/>
        <v>4680</v>
      </c>
      <c r="G19" s="404">
        <f t="shared" si="2"/>
        <v>4680</v>
      </c>
      <c r="P19" t="str">
        <f t="shared" si="0"/>
        <v>kentucky</v>
      </c>
    </row>
    <row r="20" spans="1:16" x14ac:dyDescent="0.3">
      <c r="A20" s="415" t="s">
        <v>54</v>
      </c>
      <c r="B20" s="415">
        <v>5954</v>
      </c>
      <c r="E20" s="397" t="s">
        <v>60</v>
      </c>
      <c r="F20" s="398">
        <f t="shared" si="1"/>
        <v>5556</v>
      </c>
      <c r="G20" s="404">
        <f t="shared" si="2"/>
        <v>5556</v>
      </c>
      <c r="P20" t="str">
        <f t="shared" si="0"/>
        <v>louisiana</v>
      </c>
    </row>
    <row r="21" spans="1:16" x14ac:dyDescent="0.3">
      <c r="A21" s="415" t="s">
        <v>56</v>
      </c>
      <c r="B21" s="415">
        <v>6176</v>
      </c>
      <c r="E21" s="397" t="s">
        <v>62</v>
      </c>
      <c r="F21" s="398">
        <f t="shared" si="1"/>
        <v>3900</v>
      </c>
      <c r="G21" s="404">
        <f t="shared" si="2"/>
        <v>3900</v>
      </c>
      <c r="P21" t="str">
        <f t="shared" si="0"/>
        <v>massachusetts</v>
      </c>
    </row>
    <row r="22" spans="1:16" x14ac:dyDescent="0.3">
      <c r="A22" s="415" t="s">
        <v>58</v>
      </c>
      <c r="B22" s="415">
        <v>4680</v>
      </c>
      <c r="E22" s="397" t="s">
        <v>64</v>
      </c>
      <c r="F22" s="398">
        <f t="shared" si="1"/>
        <v>3738</v>
      </c>
      <c r="G22" s="404">
        <f t="shared" si="2"/>
        <v>3738</v>
      </c>
      <c r="P22" t="str">
        <f t="shared" si="0"/>
        <v>maryland</v>
      </c>
    </row>
    <row r="23" spans="1:16" x14ac:dyDescent="0.3">
      <c r="A23" s="415" t="s">
        <v>60</v>
      </c>
      <c r="B23" s="415">
        <v>5556</v>
      </c>
      <c r="E23" s="397" t="s">
        <v>66</v>
      </c>
      <c r="F23" s="398">
        <f t="shared" si="1"/>
        <v>1110</v>
      </c>
      <c r="G23" s="404">
        <f t="shared" si="2"/>
        <v>1110</v>
      </c>
      <c r="P23" t="str">
        <f t="shared" si="0"/>
        <v>maine</v>
      </c>
    </row>
    <row r="24" spans="1:16" x14ac:dyDescent="0.3">
      <c r="A24" s="415" t="s">
        <v>62</v>
      </c>
      <c r="B24" s="415">
        <v>3900</v>
      </c>
      <c r="E24" s="397" t="s">
        <v>68</v>
      </c>
      <c r="F24" s="398">
        <f t="shared" si="1"/>
        <v>4490</v>
      </c>
      <c r="G24" s="404">
        <f t="shared" si="2"/>
        <v>4490</v>
      </c>
      <c r="P24" t="str">
        <f t="shared" si="0"/>
        <v>michigan</v>
      </c>
    </row>
    <row r="25" spans="1:16" x14ac:dyDescent="0.3">
      <c r="A25" s="415" t="s">
        <v>64</v>
      </c>
      <c r="B25" s="415">
        <v>3738</v>
      </c>
      <c r="E25" s="397" t="s">
        <v>70</v>
      </c>
      <c r="F25" s="398">
        <f t="shared" si="1"/>
        <v>6482</v>
      </c>
      <c r="G25" s="404">
        <f t="shared" si="2"/>
        <v>6482</v>
      </c>
      <c r="P25" t="str">
        <f t="shared" si="0"/>
        <v>minnesota</v>
      </c>
    </row>
    <row r="26" spans="1:16" x14ac:dyDescent="0.3">
      <c r="A26" s="415" t="s">
        <v>66</v>
      </c>
      <c r="B26" s="415">
        <v>1110</v>
      </c>
      <c r="E26" s="397" t="s">
        <v>72</v>
      </c>
      <c r="F26" s="398">
        <f t="shared" si="1"/>
        <v>5400</v>
      </c>
      <c r="G26" s="404">
        <f t="shared" si="2"/>
        <v>5400</v>
      </c>
      <c r="P26" t="str">
        <f t="shared" si="0"/>
        <v>missouri</v>
      </c>
    </row>
    <row r="27" spans="1:16" x14ac:dyDescent="0.3">
      <c r="A27" s="415" t="s">
        <v>68</v>
      </c>
      <c r="B27" s="415">
        <v>4490</v>
      </c>
      <c r="E27" s="397" t="s">
        <v>74</v>
      </c>
      <c r="F27" s="398">
        <f t="shared" si="1"/>
        <v>5791</v>
      </c>
      <c r="G27" s="404">
        <f t="shared" si="2"/>
        <v>5791</v>
      </c>
      <c r="P27" t="str">
        <f t="shared" si="0"/>
        <v>mississippi</v>
      </c>
    </row>
    <row r="28" spans="1:16" x14ac:dyDescent="0.3">
      <c r="A28" s="415" t="s">
        <v>70</v>
      </c>
      <c r="B28" s="415">
        <v>6482</v>
      </c>
      <c r="E28" s="397" t="s">
        <v>76</v>
      </c>
      <c r="F28" s="398">
        <f t="shared" si="1"/>
        <v>6602</v>
      </c>
      <c r="G28" s="404">
        <f t="shared" si="2"/>
        <v>6602</v>
      </c>
      <c r="P28" t="str">
        <f t="shared" si="0"/>
        <v>montana</v>
      </c>
    </row>
    <row r="29" spans="1:16" x14ac:dyDescent="0.3">
      <c r="A29" s="415" t="s">
        <v>72</v>
      </c>
      <c r="B29" s="415">
        <v>5400</v>
      </c>
      <c r="E29" s="397" t="s">
        <v>78</v>
      </c>
      <c r="F29" s="398">
        <f t="shared" si="1"/>
        <v>3954</v>
      </c>
      <c r="G29" s="404">
        <f t="shared" si="2"/>
        <v>3954</v>
      </c>
      <c r="P29" t="str">
        <f t="shared" si="0"/>
        <v>north carolina</v>
      </c>
    </row>
    <row r="30" spans="1:16" x14ac:dyDescent="0.3">
      <c r="A30" s="415" t="s">
        <v>142</v>
      </c>
      <c r="B30" s="415">
        <v>0</v>
      </c>
      <c r="E30" s="397" t="s">
        <v>80</v>
      </c>
      <c r="F30" s="398">
        <f t="shared" si="1"/>
        <v>11408</v>
      </c>
      <c r="G30" s="404">
        <f t="shared" si="2"/>
        <v>11408</v>
      </c>
      <c r="P30" t="str">
        <f t="shared" si="0"/>
        <v>north dakota</v>
      </c>
    </row>
    <row r="31" spans="1:16" x14ac:dyDescent="0.3">
      <c r="A31" s="415" t="s">
        <v>74</v>
      </c>
      <c r="B31" s="415">
        <v>5791</v>
      </c>
      <c r="E31" s="397" t="s">
        <v>82</v>
      </c>
      <c r="F31" s="398">
        <f t="shared" si="1"/>
        <v>7460</v>
      </c>
      <c r="G31" s="404">
        <f t="shared" si="2"/>
        <v>7460</v>
      </c>
      <c r="P31" t="str">
        <f t="shared" si="0"/>
        <v>nebraska</v>
      </c>
    </row>
    <row r="32" spans="1:16" x14ac:dyDescent="0.3">
      <c r="A32" s="415" t="s">
        <v>76</v>
      </c>
      <c r="B32" s="415">
        <v>6602</v>
      </c>
      <c r="E32" s="397" t="s">
        <v>84</v>
      </c>
      <c r="F32" s="398">
        <f t="shared" si="1"/>
        <v>2034</v>
      </c>
      <c r="G32" s="404">
        <f t="shared" si="2"/>
        <v>2034</v>
      </c>
      <c r="P32" t="str">
        <f t="shared" si="0"/>
        <v>new hampshire</v>
      </c>
    </row>
    <row r="33" spans="1:16" x14ac:dyDescent="0.3">
      <c r="A33" s="415" t="s">
        <v>78</v>
      </c>
      <c r="B33" s="415">
        <v>3954</v>
      </c>
      <c r="E33" s="397" t="s">
        <v>86</v>
      </c>
      <c r="F33" s="398">
        <f t="shared" si="1"/>
        <v>4282</v>
      </c>
      <c r="G33" s="404">
        <f t="shared" si="2"/>
        <v>4282</v>
      </c>
      <c r="P33" t="str">
        <f t="shared" si="0"/>
        <v>new jersey</v>
      </c>
    </row>
    <row r="34" spans="1:16" x14ac:dyDescent="0.3">
      <c r="A34" s="415" t="s">
        <v>80</v>
      </c>
      <c r="B34" s="415">
        <v>11408</v>
      </c>
      <c r="E34" s="397" t="s">
        <v>88</v>
      </c>
      <c r="F34" s="398">
        <f t="shared" si="1"/>
        <v>5390</v>
      </c>
      <c r="G34" s="404">
        <f t="shared" si="2"/>
        <v>5390</v>
      </c>
      <c r="P34" t="str">
        <f t="shared" ref="P34:P54" si="3">LOWER(E34)</f>
        <v>new mexico</v>
      </c>
    </row>
    <row r="35" spans="1:16" x14ac:dyDescent="0.3">
      <c r="A35" s="415" t="s">
        <v>82</v>
      </c>
      <c r="B35" s="415">
        <v>7460</v>
      </c>
      <c r="E35" s="397" t="s">
        <v>90</v>
      </c>
      <c r="F35" s="398">
        <f t="shared" si="1"/>
        <v>5811</v>
      </c>
      <c r="G35" s="404">
        <f t="shared" si="2"/>
        <v>5811</v>
      </c>
      <c r="P35" t="str">
        <f t="shared" si="3"/>
        <v>nevada</v>
      </c>
    </row>
    <row r="36" spans="1:16" x14ac:dyDescent="0.3">
      <c r="A36" s="415" t="s">
        <v>84</v>
      </c>
      <c r="B36" s="415">
        <v>2034</v>
      </c>
      <c r="E36" s="397" t="s">
        <v>92</v>
      </c>
      <c r="F36" s="398">
        <f t="shared" si="1"/>
        <v>3519</v>
      </c>
      <c r="G36" s="404">
        <f>IF(ISNA(F36),0,F36)</f>
        <v>3519</v>
      </c>
      <c r="P36" t="str">
        <f t="shared" si="3"/>
        <v>new york</v>
      </c>
    </row>
    <row r="37" spans="1:16" x14ac:dyDescent="0.3">
      <c r="A37" s="415" t="s">
        <v>86</v>
      </c>
      <c r="B37" s="415">
        <v>4282</v>
      </c>
      <c r="E37" s="397" t="s">
        <v>94</v>
      </c>
      <c r="F37" s="398">
        <f t="shared" si="1"/>
        <v>4449</v>
      </c>
      <c r="G37" s="404">
        <f t="shared" si="2"/>
        <v>4449</v>
      </c>
      <c r="P37" t="str">
        <f t="shared" si="3"/>
        <v>ohio</v>
      </c>
    </row>
    <row r="38" spans="1:16" x14ac:dyDescent="0.3">
      <c r="A38" s="415" t="s">
        <v>88</v>
      </c>
      <c r="B38" s="415">
        <v>5390</v>
      </c>
      <c r="E38" s="397" t="s">
        <v>96</v>
      </c>
      <c r="F38" s="398">
        <f t="shared" si="1"/>
        <v>5793</v>
      </c>
      <c r="G38" s="404">
        <f t="shared" si="2"/>
        <v>5793</v>
      </c>
      <c r="P38" t="str">
        <f t="shared" si="3"/>
        <v>oklahoma</v>
      </c>
    </row>
    <row r="39" spans="1:16" x14ac:dyDescent="0.3">
      <c r="A39" s="415" t="s">
        <v>90</v>
      </c>
      <c r="B39" s="415">
        <v>5811</v>
      </c>
      <c r="E39" s="397" t="s">
        <v>98</v>
      </c>
      <c r="F39" s="398">
        <f t="shared" si="1"/>
        <v>2107</v>
      </c>
      <c r="G39" s="404">
        <f t="shared" si="2"/>
        <v>2107</v>
      </c>
      <c r="P39" t="str">
        <f t="shared" si="3"/>
        <v>oregon</v>
      </c>
    </row>
    <row r="40" spans="1:16" x14ac:dyDescent="0.3">
      <c r="A40" s="415" t="s">
        <v>92</v>
      </c>
      <c r="B40" s="415">
        <v>3519</v>
      </c>
      <c r="E40" s="397" t="s">
        <v>100</v>
      </c>
      <c r="F40" s="398">
        <f t="shared" si="1"/>
        <v>3477</v>
      </c>
      <c r="G40" s="404">
        <f t="shared" si="2"/>
        <v>3477</v>
      </c>
      <c r="P40" t="str">
        <f t="shared" si="3"/>
        <v>pennsylvania</v>
      </c>
    </row>
    <row r="41" spans="1:16" x14ac:dyDescent="0.3">
      <c r="A41" s="415" t="s">
        <v>143</v>
      </c>
      <c r="B41" s="415">
        <v>4184</v>
      </c>
      <c r="E41" s="397" t="s">
        <v>132</v>
      </c>
      <c r="F41" s="398">
        <f t="shared" si="1"/>
        <v>0</v>
      </c>
      <c r="G41" s="404">
        <f t="shared" si="2"/>
        <v>0</v>
      </c>
      <c r="P41" t="str">
        <f t="shared" si="3"/>
        <v>palau</v>
      </c>
    </row>
    <row r="42" spans="1:16" x14ac:dyDescent="0.3">
      <c r="A42" s="415" t="s">
        <v>94</v>
      </c>
      <c r="B42" s="415">
        <v>4449</v>
      </c>
      <c r="E42" s="397" t="s">
        <v>103</v>
      </c>
      <c r="F42" s="398">
        <f t="shared" si="1"/>
        <v>6460</v>
      </c>
      <c r="G42" s="404">
        <f t="shared" si="2"/>
        <v>6460</v>
      </c>
      <c r="P42" t="str">
        <f t="shared" si="3"/>
        <v>rhode island</v>
      </c>
    </row>
    <row r="43" spans="1:16" x14ac:dyDescent="0.3">
      <c r="A43" s="415" t="s">
        <v>96</v>
      </c>
      <c r="B43" s="415">
        <v>5793</v>
      </c>
      <c r="E43" s="397" t="s">
        <v>105</v>
      </c>
      <c r="F43" s="398">
        <f t="shared" si="1"/>
        <v>4710</v>
      </c>
      <c r="G43" s="404">
        <f t="shared" si="2"/>
        <v>4710</v>
      </c>
      <c r="P43" t="str">
        <f t="shared" si="3"/>
        <v>south carolina</v>
      </c>
    </row>
    <row r="44" spans="1:16" x14ac:dyDescent="0.3">
      <c r="A44" s="415" t="s">
        <v>98</v>
      </c>
      <c r="B44" s="415">
        <v>2107</v>
      </c>
      <c r="E44" s="397" t="s">
        <v>107</v>
      </c>
      <c r="F44" s="398">
        <f t="shared" si="1"/>
        <v>9977</v>
      </c>
      <c r="G44" s="404">
        <f t="shared" si="2"/>
        <v>9977</v>
      </c>
      <c r="P44" t="str">
        <f t="shared" si="3"/>
        <v>south dakota</v>
      </c>
    </row>
    <row r="45" spans="1:16" x14ac:dyDescent="0.3">
      <c r="A45" s="415" t="s">
        <v>100</v>
      </c>
      <c r="B45" s="415">
        <v>3477</v>
      </c>
      <c r="E45" s="397" t="s">
        <v>109</v>
      </c>
      <c r="F45" s="398">
        <f t="shared" si="1"/>
        <v>6248</v>
      </c>
      <c r="G45" s="404">
        <f t="shared" si="2"/>
        <v>6248</v>
      </c>
      <c r="P45" t="str">
        <f t="shared" si="3"/>
        <v>tennessee</v>
      </c>
    </row>
    <row r="46" spans="1:16" x14ac:dyDescent="0.3">
      <c r="A46" s="415" t="s">
        <v>144</v>
      </c>
      <c r="B46" s="415">
        <v>1861</v>
      </c>
      <c r="E46" s="397" t="s">
        <v>111</v>
      </c>
      <c r="F46" s="398">
        <f t="shared" si="1"/>
        <v>4472</v>
      </c>
      <c r="G46" s="404">
        <f t="shared" si="2"/>
        <v>4472</v>
      </c>
      <c r="P46" t="str">
        <f t="shared" si="3"/>
        <v>texas</v>
      </c>
    </row>
    <row r="47" spans="1:16" x14ac:dyDescent="0.3">
      <c r="A47" s="415" t="s">
        <v>132</v>
      </c>
      <c r="B47" s="415">
        <v>0</v>
      </c>
      <c r="E47" s="397" t="s">
        <v>113</v>
      </c>
      <c r="F47" s="398">
        <f t="shared" si="1"/>
        <v>7040</v>
      </c>
      <c r="G47" s="404">
        <f t="shared" si="2"/>
        <v>7040</v>
      </c>
      <c r="P47" t="str">
        <f t="shared" si="3"/>
        <v>utah</v>
      </c>
    </row>
    <row r="48" spans="1:16" x14ac:dyDescent="0.3">
      <c r="A48" s="415" t="s">
        <v>103</v>
      </c>
      <c r="B48" s="415">
        <v>6460</v>
      </c>
      <c r="E48" s="397" t="s">
        <v>146</v>
      </c>
      <c r="F48" s="398">
        <f t="shared" si="1"/>
        <v>3182</v>
      </c>
      <c r="G48" s="404">
        <f t="shared" si="2"/>
        <v>3182</v>
      </c>
      <c r="P48" t="str">
        <f t="shared" si="3"/>
        <v>virginia</v>
      </c>
    </row>
    <row r="49" spans="1:16" x14ac:dyDescent="0.3">
      <c r="A49" s="415" t="s">
        <v>145</v>
      </c>
      <c r="B49" s="415">
        <v>7</v>
      </c>
      <c r="E49" s="397" t="s">
        <v>116</v>
      </c>
      <c r="F49" s="398">
        <f t="shared" si="1"/>
        <v>1656</v>
      </c>
      <c r="G49" s="404">
        <f t="shared" si="2"/>
        <v>1656</v>
      </c>
      <c r="P49" t="str">
        <f t="shared" si="3"/>
        <v>virgin islands</v>
      </c>
    </row>
    <row r="50" spans="1:16" x14ac:dyDescent="0.3">
      <c r="A50" s="415" t="s">
        <v>105</v>
      </c>
      <c r="B50" s="415">
        <v>4710</v>
      </c>
      <c r="E50" s="397" t="s">
        <v>118</v>
      </c>
      <c r="F50" s="398">
        <f t="shared" si="1"/>
        <v>844</v>
      </c>
      <c r="G50" s="404">
        <f t="shared" si="2"/>
        <v>844</v>
      </c>
      <c r="P50" t="str">
        <f t="shared" si="3"/>
        <v>vermont</v>
      </c>
    </row>
    <row r="51" spans="1:16" x14ac:dyDescent="0.3">
      <c r="A51" s="415" t="s">
        <v>107</v>
      </c>
      <c r="B51" s="415">
        <v>9977</v>
      </c>
      <c r="E51" s="397" t="s">
        <v>120</v>
      </c>
      <c r="F51" s="398">
        <f t="shared" si="1"/>
        <v>2520</v>
      </c>
      <c r="G51" s="404">
        <f t="shared" si="2"/>
        <v>2520</v>
      </c>
      <c r="P51" t="str">
        <f t="shared" si="3"/>
        <v>washington</v>
      </c>
    </row>
    <row r="52" spans="1:16" x14ac:dyDescent="0.3">
      <c r="A52" s="415" t="s">
        <v>109</v>
      </c>
      <c r="B52" s="415">
        <v>6248</v>
      </c>
      <c r="E52" s="397" t="s">
        <v>122</v>
      </c>
      <c r="F52" s="398">
        <f t="shared" si="1"/>
        <v>7778</v>
      </c>
      <c r="G52" s="404">
        <f t="shared" si="2"/>
        <v>7778</v>
      </c>
      <c r="P52" t="str">
        <f t="shared" si="3"/>
        <v>wisconsin</v>
      </c>
    </row>
    <row r="53" spans="1:16" x14ac:dyDescent="0.3">
      <c r="A53" s="415" t="s">
        <v>111</v>
      </c>
      <c r="B53" s="415">
        <v>4472</v>
      </c>
      <c r="E53" s="397" t="s">
        <v>124</v>
      </c>
      <c r="F53" s="398">
        <f t="shared" si="1"/>
        <v>3237</v>
      </c>
      <c r="G53" s="404">
        <f t="shared" si="2"/>
        <v>3237</v>
      </c>
      <c r="P53" t="str">
        <f t="shared" si="3"/>
        <v>west virginia</v>
      </c>
    </row>
    <row r="54" spans="1:16" x14ac:dyDescent="0.3">
      <c r="A54" s="415" t="s">
        <v>113</v>
      </c>
      <c r="B54" s="415">
        <v>7040</v>
      </c>
      <c r="E54" s="397" t="s">
        <v>126</v>
      </c>
      <c r="F54" s="398">
        <f t="shared" si="1"/>
        <v>6558</v>
      </c>
      <c r="G54" s="404">
        <f t="shared" si="2"/>
        <v>6558</v>
      </c>
      <c r="P54" t="str">
        <f t="shared" si="3"/>
        <v>wyoming</v>
      </c>
    </row>
    <row r="55" spans="1:16" x14ac:dyDescent="0.3">
      <c r="A55" s="415" t="s">
        <v>146</v>
      </c>
      <c r="B55" s="415">
        <v>3182</v>
      </c>
    </row>
    <row r="56" spans="1:16" x14ac:dyDescent="0.3">
      <c r="A56" s="415" t="s">
        <v>116</v>
      </c>
      <c r="B56" s="415">
        <v>1656</v>
      </c>
    </row>
    <row r="57" spans="1:16" x14ac:dyDescent="0.3">
      <c r="A57" s="415" t="s">
        <v>118</v>
      </c>
      <c r="B57" s="415">
        <v>844</v>
      </c>
    </row>
    <row r="58" spans="1:16" x14ac:dyDescent="0.3">
      <c r="A58" s="415" t="s">
        <v>120</v>
      </c>
      <c r="B58" s="415">
        <v>2520</v>
      </c>
    </row>
    <row r="59" spans="1:16" x14ac:dyDescent="0.3">
      <c r="A59" s="415" t="s">
        <v>122</v>
      </c>
      <c r="B59" s="415">
        <v>7778</v>
      </c>
    </row>
    <row r="60" spans="1:16" x14ac:dyDescent="0.3">
      <c r="A60" s="415" t="s">
        <v>124</v>
      </c>
      <c r="B60" s="415">
        <v>3237</v>
      </c>
    </row>
    <row r="61" spans="1:16" x14ac:dyDescent="0.3">
      <c r="A61" s="415" t="s">
        <v>126</v>
      </c>
      <c r="B61" s="415">
        <v>6558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15</vt:i4>
      </vt:variant>
    </vt:vector>
  </HeadingPairs>
  <TitlesOfParts>
    <vt:vector size="18" baseType="lpstr">
      <vt:lpstr>data</vt:lpstr>
      <vt:lpstr>map</vt:lpstr>
      <vt:lpstr>数据实例</vt:lpstr>
      <vt:lpstr>color_scheme</vt:lpstr>
      <vt:lpstr>color_table</vt:lpstr>
      <vt:lpstr>color1</vt:lpstr>
      <vt:lpstr>color10</vt:lpstr>
      <vt:lpstr>color2</vt:lpstr>
      <vt:lpstr>color3</vt:lpstr>
      <vt:lpstr>color4</vt:lpstr>
      <vt:lpstr>color5</vt:lpstr>
      <vt:lpstr>color6</vt:lpstr>
      <vt:lpstr>color7</vt:lpstr>
      <vt:lpstr>color8</vt:lpstr>
      <vt:lpstr>color9</vt:lpstr>
      <vt:lpstr>numbers_format</vt:lpstr>
      <vt:lpstr>show_numbers</vt:lpstr>
      <vt:lpstr>show_province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sxjmqf</cp:lastModifiedBy>
  <dcterms:created xsi:type="dcterms:W3CDTF">2017-08-18T07:52:43Z</dcterms:created>
  <dcterms:modified xsi:type="dcterms:W3CDTF">2020-12-28T04:28:26Z</dcterms:modified>
</cp:coreProperties>
</file>